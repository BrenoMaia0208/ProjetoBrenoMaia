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01.LOGISTICA\16.ANÁLISES\VISÃO TOTAL DE ROMANEIOS\2026\06.JUN\01.06\"/>
    </mc:Choice>
  </mc:AlternateContent>
  <xr:revisionPtr revIDLastSave="0" documentId="13_ncr:1_{9B66955A-647A-4C4A-ABEC-3FF0C1EE4F40}" xr6:coauthVersionLast="47" xr6:coauthVersionMax="47" xr10:uidLastSave="{00000000-0000-0000-0000-000000000000}"/>
  <bookViews>
    <workbookView xWindow="-120" yWindow="-120" windowWidth="29040" windowHeight="15720" tabRatio="523" activeTab="1" xr2:uid="{4DF1D10F-FA19-43EA-B1F8-4EEE80AA5A5D}"/>
  </bookViews>
  <sheets>
    <sheet name="DINÂMICA" sheetId="6" r:id="rId1"/>
    <sheet name="MAPA DE PEDIDOS" sheetId="2" r:id="rId2"/>
  </sheets>
  <definedNames>
    <definedName name="_xlcn.WorksheetConnection_05.FOLLOWUPPEDIDOSDEVENDA21.04.xlsxTabela11" hidden="1">Tabela1[]</definedName>
  </definedNames>
  <calcPr calcId="191029"/>
  <pivotCaches>
    <pivotCache cacheId="49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" name="Tabela1" connection="WorksheetConnection_05.FOLLOW-UP PEDIDOS DE VENDA - 21.04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6" i="2" l="1"/>
  <c r="G125" i="2"/>
  <c r="G106" i="2"/>
  <c r="G121" i="2"/>
  <c r="G73" i="2"/>
  <c r="G126" i="2"/>
  <c r="G114" i="2"/>
  <c r="G85" i="2"/>
  <c r="G127" i="2"/>
  <c r="G128" i="2"/>
  <c r="G129" i="2"/>
  <c r="G130" i="2"/>
  <c r="G131" i="2"/>
  <c r="G117" i="2"/>
  <c r="G97" i="2"/>
  <c r="G72" i="2"/>
  <c r="G87" i="2"/>
  <c r="G86" i="2"/>
  <c r="G132" i="2"/>
  <c r="G122" i="2"/>
  <c r="G102" i="2"/>
  <c r="G133" i="2"/>
  <c r="G80" i="2"/>
  <c r="G44" i="2"/>
  <c r="G134" i="2"/>
  <c r="G95" i="2"/>
  <c r="G96" i="2"/>
  <c r="G61" i="2"/>
  <c r="G71" i="2"/>
  <c r="G118" i="2"/>
  <c r="G99" i="2"/>
  <c r="G135" i="2"/>
  <c r="G136" i="2"/>
  <c r="G68" i="2"/>
  <c r="G83" i="2"/>
  <c r="G74" i="2"/>
  <c r="G52" i="2"/>
  <c r="G137" i="2"/>
  <c r="G5" i="2"/>
  <c r="G82" i="2"/>
  <c r="G6" i="2"/>
  <c r="G57" i="2"/>
  <c r="G138" i="2"/>
  <c r="G139" i="2"/>
  <c r="G81" i="2"/>
  <c r="G110" i="2"/>
  <c r="G88" i="2"/>
  <c r="G92" i="2"/>
  <c r="G140" i="2"/>
  <c r="G141" i="2"/>
  <c r="G107" i="2"/>
  <c r="G84" i="2"/>
  <c r="G142" i="2"/>
  <c r="G103" i="2"/>
  <c r="G104" i="2"/>
  <c r="G108" i="2"/>
  <c r="G143" i="2"/>
  <c r="G70" i="2"/>
  <c r="G77" i="2"/>
  <c r="G144" i="2"/>
  <c r="G145" i="2"/>
  <c r="G146" i="2"/>
  <c r="G147" i="2"/>
  <c r="G93" i="2"/>
  <c r="G148" i="2"/>
  <c r="G149" i="2"/>
  <c r="G94" i="2"/>
  <c r="G150" i="2"/>
  <c r="G151" i="2"/>
  <c r="G152" i="2"/>
  <c r="G153" i="2"/>
  <c r="G154" i="2"/>
  <c r="G105" i="2"/>
  <c r="G155" i="2"/>
  <c r="G156" i="2"/>
  <c r="G157" i="2"/>
  <c r="G112" i="2"/>
  <c r="G158" i="2"/>
  <c r="G69" i="2"/>
  <c r="G159" i="2"/>
  <c r="G39" i="2"/>
  <c r="G160" i="2"/>
  <c r="G91" i="2"/>
  <c r="G161" i="2"/>
  <c r="G162" i="2"/>
  <c r="G163" i="2"/>
  <c r="G164" i="2"/>
  <c r="G165" i="2"/>
  <c r="G166" i="2"/>
  <c r="G167" i="2"/>
  <c r="G168" i="2"/>
  <c r="G169" i="2"/>
  <c r="G115" i="2"/>
  <c r="G170" i="2"/>
  <c r="G171" i="2"/>
  <c r="G172" i="2"/>
  <c r="G62" i="2"/>
  <c r="G173" i="2"/>
  <c r="G40" i="2"/>
  <c r="G7" i="2"/>
  <c r="G174" i="2"/>
  <c r="G175" i="2"/>
  <c r="G50" i="2"/>
  <c r="G76" i="2"/>
  <c r="G111" i="2"/>
  <c r="G8" i="2"/>
  <c r="G176" i="2"/>
  <c r="G113" i="2"/>
  <c r="G9" i="2"/>
  <c r="G177" i="2"/>
  <c r="G178" i="2"/>
  <c r="G98" i="2"/>
  <c r="G179" i="2"/>
  <c r="G79" i="2"/>
  <c r="G100" i="2"/>
  <c r="G180" i="2"/>
  <c r="G181" i="2"/>
  <c r="G182" i="2"/>
  <c r="G183" i="2"/>
  <c r="G10" i="2"/>
  <c r="G184" i="2"/>
  <c r="G185" i="2"/>
  <c r="G11" i="2"/>
  <c r="G186" i="2"/>
  <c r="G187" i="2"/>
  <c r="G124" i="2"/>
  <c r="G75" i="2"/>
  <c r="G12" i="2"/>
  <c r="G47" i="2"/>
  <c r="G188" i="2"/>
  <c r="G13" i="2"/>
  <c r="G189" i="2"/>
  <c r="G190" i="2"/>
  <c r="G191" i="2"/>
  <c r="G14" i="2"/>
  <c r="G192" i="2"/>
  <c r="G123" i="2"/>
  <c r="G43" i="2"/>
  <c r="G90" i="2"/>
  <c r="G193" i="2"/>
  <c r="G194" i="2"/>
  <c r="G54" i="2"/>
  <c r="G195" i="2"/>
  <c r="G56" i="2"/>
  <c r="G42" i="2"/>
  <c r="G196" i="2"/>
  <c r="G15" i="2"/>
  <c r="G197" i="2"/>
  <c r="G198" i="2"/>
  <c r="G199" i="2"/>
  <c r="G200" i="2"/>
  <c r="G51" i="2"/>
  <c r="G201" i="2"/>
  <c r="G46" i="2"/>
  <c r="G53" i="2"/>
  <c r="G101" i="2"/>
  <c r="G45" i="2"/>
  <c r="G65" i="2"/>
  <c r="G202" i="2"/>
  <c r="G16" i="2"/>
  <c r="G203" i="2"/>
  <c r="G204" i="2"/>
  <c r="G205" i="2"/>
  <c r="G55" i="2"/>
  <c r="G17" i="2"/>
  <c r="G18" i="2"/>
  <c r="G66" i="2"/>
  <c r="G206" i="2"/>
  <c r="G207" i="2"/>
  <c r="G89" i="2"/>
  <c r="G41" i="2"/>
  <c r="G208" i="2"/>
  <c r="G49" i="2"/>
  <c r="G19" i="2"/>
  <c r="G209" i="2"/>
  <c r="G210" i="2"/>
  <c r="G58" i="2"/>
  <c r="G48" i="2"/>
  <c r="G20" i="2"/>
  <c r="G211" i="2"/>
  <c r="G212" i="2"/>
  <c r="G21" i="2"/>
  <c r="G22" i="2"/>
  <c r="G59" i="2"/>
  <c r="G120" i="2"/>
  <c r="G23" i="2"/>
  <c r="G109" i="2"/>
  <c r="G213" i="2"/>
  <c r="G214" i="2"/>
  <c r="G24" i="2"/>
  <c r="G215" i="2"/>
  <c r="G25" i="2"/>
  <c r="G216" i="2"/>
  <c r="G26" i="2"/>
  <c r="G217" i="2"/>
  <c r="G218" i="2"/>
  <c r="G219" i="2"/>
  <c r="G220" i="2"/>
  <c r="G27" i="2"/>
  <c r="G28" i="2"/>
  <c r="G29" i="2"/>
  <c r="G64" i="2"/>
  <c r="G221" i="2"/>
  <c r="G30" i="2"/>
  <c r="G31" i="2"/>
  <c r="G67" i="2"/>
  <c r="G63" i="2"/>
  <c r="G222" i="2"/>
  <c r="G32" i="2"/>
  <c r="G33" i="2"/>
  <c r="G34" i="2"/>
  <c r="G35" i="2"/>
  <c r="G223" i="2"/>
  <c r="G60" i="2"/>
  <c r="G78" i="2"/>
  <c r="G36" i="2"/>
  <c r="G37" i="2"/>
  <c r="G38" i="2"/>
  <c r="H116" i="2"/>
  <c r="H125" i="2"/>
  <c r="H106" i="2"/>
  <c r="H121" i="2"/>
  <c r="H73" i="2"/>
  <c r="H126" i="2"/>
  <c r="H114" i="2"/>
  <c r="H85" i="2"/>
  <c r="H127" i="2"/>
  <c r="H128" i="2"/>
  <c r="H129" i="2"/>
  <c r="H130" i="2"/>
  <c r="H131" i="2"/>
  <c r="H117" i="2"/>
  <c r="H97" i="2"/>
  <c r="H72" i="2"/>
  <c r="H87" i="2"/>
  <c r="H86" i="2"/>
  <c r="H132" i="2"/>
  <c r="H122" i="2"/>
  <c r="H102" i="2"/>
  <c r="H133" i="2"/>
  <c r="H80" i="2"/>
  <c r="H44" i="2"/>
  <c r="H134" i="2"/>
  <c r="H95" i="2"/>
  <c r="H96" i="2"/>
  <c r="H61" i="2"/>
  <c r="H71" i="2"/>
  <c r="H118" i="2"/>
  <c r="H99" i="2"/>
  <c r="H135" i="2"/>
  <c r="H136" i="2"/>
  <c r="H68" i="2"/>
  <c r="H83" i="2"/>
  <c r="H74" i="2"/>
  <c r="H52" i="2"/>
  <c r="H137" i="2"/>
  <c r="H5" i="2"/>
  <c r="H82" i="2"/>
  <c r="H6" i="2"/>
  <c r="H57" i="2"/>
  <c r="H138" i="2"/>
  <c r="H139" i="2"/>
  <c r="H81" i="2"/>
  <c r="H110" i="2"/>
  <c r="H88" i="2"/>
  <c r="H92" i="2"/>
  <c r="H140" i="2"/>
  <c r="H141" i="2"/>
  <c r="H107" i="2"/>
  <c r="H84" i="2"/>
  <c r="H142" i="2"/>
  <c r="H103" i="2"/>
  <c r="H104" i="2"/>
  <c r="H108" i="2"/>
  <c r="H143" i="2"/>
  <c r="H70" i="2"/>
  <c r="H77" i="2"/>
  <c r="H144" i="2"/>
  <c r="H145" i="2"/>
  <c r="H146" i="2"/>
  <c r="H147" i="2"/>
  <c r="H93" i="2"/>
  <c r="H148" i="2"/>
  <c r="H149" i="2"/>
  <c r="H94" i="2"/>
  <c r="H150" i="2"/>
  <c r="H151" i="2"/>
  <c r="H152" i="2"/>
  <c r="H153" i="2"/>
  <c r="H154" i="2"/>
  <c r="H105" i="2"/>
  <c r="H155" i="2"/>
  <c r="H156" i="2"/>
  <c r="H157" i="2"/>
  <c r="H112" i="2"/>
  <c r="H158" i="2"/>
  <c r="H69" i="2"/>
  <c r="H159" i="2"/>
  <c r="H39" i="2"/>
  <c r="H160" i="2"/>
  <c r="H91" i="2"/>
  <c r="H161" i="2"/>
  <c r="H162" i="2"/>
  <c r="H163" i="2"/>
  <c r="H164" i="2"/>
  <c r="H165" i="2"/>
  <c r="H166" i="2"/>
  <c r="H167" i="2"/>
  <c r="H168" i="2"/>
  <c r="H169" i="2"/>
  <c r="H115" i="2"/>
  <c r="H170" i="2"/>
  <c r="H171" i="2"/>
  <c r="H172" i="2"/>
  <c r="H62" i="2"/>
  <c r="H173" i="2"/>
  <c r="H40" i="2"/>
  <c r="H7" i="2"/>
  <c r="H174" i="2"/>
  <c r="H175" i="2"/>
  <c r="H50" i="2"/>
  <c r="H76" i="2"/>
  <c r="H111" i="2"/>
  <c r="H8" i="2"/>
  <c r="H176" i="2"/>
  <c r="H113" i="2"/>
  <c r="H9" i="2"/>
  <c r="H177" i="2"/>
  <c r="H178" i="2"/>
  <c r="H98" i="2"/>
  <c r="H179" i="2"/>
  <c r="H79" i="2"/>
  <c r="H100" i="2"/>
  <c r="H180" i="2"/>
  <c r="H181" i="2"/>
  <c r="H182" i="2"/>
  <c r="H183" i="2"/>
  <c r="H10" i="2"/>
  <c r="H184" i="2"/>
  <c r="H185" i="2"/>
  <c r="H11" i="2"/>
  <c r="H186" i="2"/>
  <c r="H187" i="2"/>
  <c r="H124" i="2"/>
  <c r="H75" i="2"/>
  <c r="H12" i="2"/>
  <c r="H47" i="2"/>
  <c r="H188" i="2"/>
  <c r="H13" i="2"/>
  <c r="H189" i="2"/>
  <c r="H190" i="2"/>
  <c r="H191" i="2"/>
  <c r="H14" i="2"/>
  <c r="H192" i="2"/>
  <c r="H123" i="2"/>
  <c r="H43" i="2"/>
  <c r="H90" i="2"/>
  <c r="H193" i="2"/>
  <c r="H194" i="2"/>
  <c r="H54" i="2"/>
  <c r="H195" i="2"/>
  <c r="H56" i="2"/>
  <c r="H42" i="2"/>
  <c r="H196" i="2"/>
  <c r="H15" i="2"/>
  <c r="H197" i="2"/>
  <c r="H198" i="2"/>
  <c r="H199" i="2"/>
  <c r="H200" i="2"/>
  <c r="H51" i="2"/>
  <c r="H201" i="2"/>
  <c r="H46" i="2"/>
  <c r="H53" i="2"/>
  <c r="H101" i="2"/>
  <c r="H45" i="2"/>
  <c r="H65" i="2"/>
  <c r="H202" i="2"/>
  <c r="H16" i="2"/>
  <c r="H203" i="2"/>
  <c r="H204" i="2"/>
  <c r="H205" i="2"/>
  <c r="H55" i="2"/>
  <c r="H17" i="2"/>
  <c r="H18" i="2"/>
  <c r="H66" i="2"/>
  <c r="H206" i="2"/>
  <c r="H207" i="2"/>
  <c r="H89" i="2"/>
  <c r="H41" i="2"/>
  <c r="H208" i="2"/>
  <c r="H49" i="2"/>
  <c r="H19" i="2"/>
  <c r="H209" i="2"/>
  <c r="H210" i="2"/>
  <c r="H58" i="2"/>
  <c r="H48" i="2"/>
  <c r="H20" i="2"/>
  <c r="H211" i="2"/>
  <c r="H212" i="2"/>
  <c r="H21" i="2"/>
  <c r="H22" i="2"/>
  <c r="H59" i="2"/>
  <c r="H120" i="2"/>
  <c r="H23" i="2"/>
  <c r="H109" i="2"/>
  <c r="H213" i="2"/>
  <c r="H214" i="2"/>
  <c r="H24" i="2"/>
  <c r="H215" i="2"/>
  <c r="H25" i="2"/>
  <c r="H216" i="2"/>
  <c r="H26" i="2"/>
  <c r="H217" i="2"/>
  <c r="H218" i="2"/>
  <c r="H219" i="2"/>
  <c r="H220" i="2"/>
  <c r="H27" i="2"/>
  <c r="H28" i="2"/>
  <c r="H29" i="2"/>
  <c r="H64" i="2"/>
  <c r="H221" i="2"/>
  <c r="H30" i="2"/>
  <c r="H31" i="2"/>
  <c r="H67" i="2"/>
  <c r="H63" i="2"/>
  <c r="H222" i="2"/>
  <c r="H32" i="2"/>
  <c r="H33" i="2"/>
  <c r="H34" i="2"/>
  <c r="H35" i="2"/>
  <c r="H223" i="2"/>
  <c r="H60" i="2"/>
  <c r="H78" i="2"/>
  <c r="H36" i="2"/>
  <c r="H37" i="2"/>
  <c r="H38" i="2"/>
  <c r="L116" i="2"/>
  <c r="L125" i="2"/>
  <c r="L106" i="2"/>
  <c r="L121" i="2"/>
  <c r="L73" i="2"/>
  <c r="L126" i="2"/>
  <c r="L114" i="2"/>
  <c r="L85" i="2"/>
  <c r="L127" i="2"/>
  <c r="L128" i="2"/>
  <c r="L129" i="2"/>
  <c r="L130" i="2"/>
  <c r="L131" i="2"/>
  <c r="L117" i="2"/>
  <c r="L97" i="2"/>
  <c r="L72" i="2"/>
  <c r="L87" i="2"/>
  <c r="L86" i="2"/>
  <c r="L132" i="2"/>
  <c r="L122" i="2"/>
  <c r="L102" i="2"/>
  <c r="L133" i="2"/>
  <c r="L80" i="2"/>
  <c r="L44" i="2"/>
  <c r="L134" i="2"/>
  <c r="L95" i="2"/>
  <c r="L96" i="2"/>
  <c r="L61" i="2"/>
  <c r="L71" i="2"/>
  <c r="L118" i="2"/>
  <c r="L99" i="2"/>
  <c r="L135" i="2"/>
  <c r="L136" i="2"/>
  <c r="L68" i="2"/>
  <c r="L83" i="2"/>
  <c r="L74" i="2"/>
  <c r="L52" i="2"/>
  <c r="L137" i="2"/>
  <c r="L5" i="2"/>
  <c r="L82" i="2"/>
  <c r="L6" i="2"/>
  <c r="L57" i="2"/>
  <c r="L138" i="2"/>
  <c r="L139" i="2"/>
  <c r="L81" i="2"/>
  <c r="L110" i="2"/>
  <c r="L88" i="2"/>
  <c r="L92" i="2"/>
  <c r="L140" i="2"/>
  <c r="L141" i="2"/>
  <c r="L107" i="2"/>
  <c r="L84" i="2"/>
  <c r="L142" i="2"/>
  <c r="L103" i="2"/>
  <c r="L104" i="2"/>
  <c r="L108" i="2"/>
  <c r="L143" i="2"/>
  <c r="L70" i="2"/>
  <c r="L77" i="2"/>
  <c r="L144" i="2"/>
  <c r="L145" i="2"/>
  <c r="L146" i="2"/>
  <c r="L147" i="2"/>
  <c r="L93" i="2"/>
  <c r="L148" i="2"/>
  <c r="L149" i="2"/>
  <c r="L94" i="2"/>
  <c r="L150" i="2"/>
  <c r="L151" i="2"/>
  <c r="L152" i="2"/>
  <c r="L153" i="2"/>
  <c r="L154" i="2"/>
  <c r="L105" i="2"/>
  <c r="L155" i="2"/>
  <c r="L156" i="2"/>
  <c r="L157" i="2"/>
  <c r="L112" i="2"/>
  <c r="L158" i="2"/>
  <c r="L69" i="2"/>
  <c r="L159" i="2"/>
  <c r="L39" i="2"/>
  <c r="L160" i="2"/>
  <c r="L91" i="2"/>
  <c r="L161" i="2"/>
  <c r="L162" i="2"/>
  <c r="L163" i="2"/>
  <c r="L164" i="2"/>
  <c r="L165" i="2"/>
  <c r="L166" i="2"/>
  <c r="L167" i="2"/>
  <c r="L168" i="2"/>
  <c r="L169" i="2"/>
  <c r="L115" i="2"/>
  <c r="L170" i="2"/>
  <c r="L171" i="2"/>
  <c r="L172" i="2"/>
  <c r="L62" i="2"/>
  <c r="L173" i="2"/>
  <c r="L40" i="2"/>
  <c r="L7" i="2"/>
  <c r="L174" i="2"/>
  <c r="L175" i="2"/>
  <c r="L50" i="2"/>
  <c r="L76" i="2"/>
  <c r="L111" i="2"/>
  <c r="L8" i="2"/>
  <c r="L176" i="2"/>
  <c r="L113" i="2"/>
  <c r="L9" i="2"/>
  <c r="L177" i="2"/>
  <c r="L178" i="2"/>
  <c r="L98" i="2"/>
  <c r="L179" i="2"/>
  <c r="L79" i="2"/>
  <c r="L100" i="2"/>
  <c r="L180" i="2"/>
  <c r="L181" i="2"/>
  <c r="L182" i="2"/>
  <c r="L183" i="2"/>
  <c r="L10" i="2"/>
  <c r="L184" i="2"/>
  <c r="L185" i="2"/>
  <c r="L11" i="2"/>
  <c r="L186" i="2"/>
  <c r="L187" i="2"/>
  <c r="L124" i="2"/>
  <c r="L75" i="2"/>
  <c r="L12" i="2"/>
  <c r="L47" i="2"/>
  <c r="L188" i="2"/>
  <c r="L13" i="2"/>
  <c r="L189" i="2"/>
  <c r="L190" i="2"/>
  <c r="L191" i="2"/>
  <c r="L14" i="2"/>
  <c r="L192" i="2"/>
  <c r="L123" i="2"/>
  <c r="L43" i="2"/>
  <c r="L90" i="2"/>
  <c r="L193" i="2"/>
  <c r="L194" i="2"/>
  <c r="L54" i="2"/>
  <c r="L195" i="2"/>
  <c r="L56" i="2"/>
  <c r="L42" i="2"/>
  <c r="L196" i="2"/>
  <c r="L15" i="2"/>
  <c r="L197" i="2"/>
  <c r="L198" i="2"/>
  <c r="L199" i="2"/>
  <c r="L200" i="2"/>
  <c r="L51" i="2"/>
  <c r="L201" i="2"/>
  <c r="L46" i="2"/>
  <c r="L53" i="2"/>
  <c r="L101" i="2"/>
  <c r="L45" i="2"/>
  <c r="L65" i="2"/>
  <c r="L202" i="2"/>
  <c r="L16" i="2"/>
  <c r="L203" i="2"/>
  <c r="L204" i="2"/>
  <c r="L205" i="2"/>
  <c r="L55" i="2"/>
  <c r="L17" i="2"/>
  <c r="L18" i="2"/>
  <c r="L66" i="2"/>
  <c r="L206" i="2"/>
  <c r="L207" i="2"/>
  <c r="L89" i="2"/>
  <c r="L41" i="2"/>
  <c r="L208" i="2"/>
  <c r="L49" i="2"/>
  <c r="L19" i="2"/>
  <c r="L209" i="2"/>
  <c r="L210" i="2"/>
  <c r="L58" i="2"/>
  <c r="L48" i="2"/>
  <c r="L20" i="2"/>
  <c r="L211" i="2"/>
  <c r="L212" i="2"/>
  <c r="L21" i="2"/>
  <c r="L22" i="2"/>
  <c r="L59" i="2"/>
  <c r="L120" i="2"/>
  <c r="L23" i="2"/>
  <c r="L109" i="2"/>
  <c r="L213" i="2"/>
  <c r="L214" i="2"/>
  <c r="L24" i="2"/>
  <c r="L215" i="2"/>
  <c r="L25" i="2"/>
  <c r="L216" i="2"/>
  <c r="L26" i="2"/>
  <c r="L217" i="2"/>
  <c r="L218" i="2"/>
  <c r="L219" i="2"/>
  <c r="L220" i="2"/>
  <c r="L27" i="2"/>
  <c r="L28" i="2"/>
  <c r="L29" i="2"/>
  <c r="L64" i="2"/>
  <c r="L221" i="2"/>
  <c r="L30" i="2"/>
  <c r="L31" i="2"/>
  <c r="L67" i="2"/>
  <c r="L63" i="2"/>
  <c r="L222" i="2"/>
  <c r="L32" i="2"/>
  <c r="L33" i="2"/>
  <c r="L34" i="2"/>
  <c r="L35" i="2"/>
  <c r="L223" i="2"/>
  <c r="L60" i="2"/>
  <c r="L78" i="2"/>
  <c r="L36" i="2"/>
  <c r="L37" i="2"/>
  <c r="L38" i="2"/>
  <c r="M116" i="2"/>
  <c r="M125" i="2"/>
  <c r="M106" i="2"/>
  <c r="M121" i="2"/>
  <c r="M73" i="2"/>
  <c r="M126" i="2"/>
  <c r="M114" i="2"/>
  <c r="M85" i="2"/>
  <c r="M127" i="2"/>
  <c r="M128" i="2"/>
  <c r="M129" i="2"/>
  <c r="M130" i="2"/>
  <c r="M131" i="2"/>
  <c r="M117" i="2"/>
  <c r="M97" i="2"/>
  <c r="M72" i="2"/>
  <c r="M87" i="2"/>
  <c r="M86" i="2"/>
  <c r="M132" i="2"/>
  <c r="M122" i="2"/>
  <c r="M102" i="2"/>
  <c r="M133" i="2"/>
  <c r="M80" i="2"/>
  <c r="M44" i="2"/>
  <c r="M134" i="2"/>
  <c r="M95" i="2"/>
  <c r="M96" i="2"/>
  <c r="M61" i="2"/>
  <c r="M71" i="2"/>
  <c r="M118" i="2"/>
  <c r="M99" i="2"/>
  <c r="M135" i="2"/>
  <c r="M136" i="2"/>
  <c r="M68" i="2"/>
  <c r="M83" i="2"/>
  <c r="M74" i="2"/>
  <c r="M52" i="2"/>
  <c r="M137" i="2"/>
  <c r="M5" i="2"/>
  <c r="M82" i="2"/>
  <c r="M6" i="2"/>
  <c r="M57" i="2"/>
  <c r="M138" i="2"/>
  <c r="M139" i="2"/>
  <c r="M81" i="2"/>
  <c r="M110" i="2"/>
  <c r="M88" i="2"/>
  <c r="M92" i="2"/>
  <c r="M140" i="2"/>
  <c r="M141" i="2"/>
  <c r="M107" i="2"/>
  <c r="M84" i="2"/>
  <c r="M142" i="2"/>
  <c r="M103" i="2"/>
  <c r="M104" i="2"/>
  <c r="M108" i="2"/>
  <c r="M143" i="2"/>
  <c r="M70" i="2"/>
  <c r="M77" i="2"/>
  <c r="M144" i="2"/>
  <c r="M145" i="2"/>
  <c r="M146" i="2"/>
  <c r="M147" i="2"/>
  <c r="M93" i="2"/>
  <c r="M148" i="2"/>
  <c r="M149" i="2"/>
  <c r="M94" i="2"/>
  <c r="M150" i="2"/>
  <c r="M151" i="2"/>
  <c r="M152" i="2"/>
  <c r="M153" i="2"/>
  <c r="M154" i="2"/>
  <c r="M105" i="2"/>
  <c r="M155" i="2"/>
  <c r="M156" i="2"/>
  <c r="M157" i="2"/>
  <c r="M112" i="2"/>
  <c r="M158" i="2"/>
  <c r="M69" i="2"/>
  <c r="M159" i="2"/>
  <c r="M39" i="2"/>
  <c r="M160" i="2"/>
  <c r="M91" i="2"/>
  <c r="M161" i="2"/>
  <c r="M162" i="2"/>
  <c r="M163" i="2"/>
  <c r="M164" i="2"/>
  <c r="M165" i="2"/>
  <c r="M166" i="2"/>
  <c r="M167" i="2"/>
  <c r="M168" i="2"/>
  <c r="M169" i="2"/>
  <c r="M115" i="2"/>
  <c r="M170" i="2"/>
  <c r="M171" i="2"/>
  <c r="M172" i="2"/>
  <c r="M62" i="2"/>
  <c r="M173" i="2"/>
  <c r="M40" i="2"/>
  <c r="M7" i="2"/>
  <c r="M174" i="2"/>
  <c r="M175" i="2"/>
  <c r="M50" i="2"/>
  <c r="M76" i="2"/>
  <c r="M111" i="2"/>
  <c r="M8" i="2"/>
  <c r="M176" i="2"/>
  <c r="M113" i="2"/>
  <c r="M9" i="2"/>
  <c r="M177" i="2"/>
  <c r="M178" i="2"/>
  <c r="M98" i="2"/>
  <c r="M179" i="2"/>
  <c r="M79" i="2"/>
  <c r="M100" i="2"/>
  <c r="M180" i="2"/>
  <c r="M181" i="2"/>
  <c r="M182" i="2"/>
  <c r="M183" i="2"/>
  <c r="M10" i="2"/>
  <c r="M184" i="2"/>
  <c r="M185" i="2"/>
  <c r="M11" i="2"/>
  <c r="M186" i="2"/>
  <c r="M187" i="2"/>
  <c r="M124" i="2"/>
  <c r="M75" i="2"/>
  <c r="M12" i="2"/>
  <c r="M47" i="2"/>
  <c r="M188" i="2"/>
  <c r="M13" i="2"/>
  <c r="M189" i="2"/>
  <c r="M190" i="2"/>
  <c r="M191" i="2"/>
  <c r="M14" i="2"/>
  <c r="M192" i="2"/>
  <c r="M123" i="2"/>
  <c r="M43" i="2"/>
  <c r="M90" i="2"/>
  <c r="M193" i="2"/>
  <c r="M194" i="2"/>
  <c r="M54" i="2"/>
  <c r="M195" i="2"/>
  <c r="M56" i="2"/>
  <c r="M42" i="2"/>
  <c r="M196" i="2"/>
  <c r="M15" i="2"/>
  <c r="M197" i="2"/>
  <c r="M198" i="2"/>
  <c r="M199" i="2"/>
  <c r="M200" i="2"/>
  <c r="M51" i="2"/>
  <c r="M201" i="2"/>
  <c r="M46" i="2"/>
  <c r="M53" i="2"/>
  <c r="M101" i="2"/>
  <c r="M45" i="2"/>
  <c r="M65" i="2"/>
  <c r="M202" i="2"/>
  <c r="M16" i="2"/>
  <c r="M203" i="2"/>
  <c r="M204" i="2"/>
  <c r="M205" i="2"/>
  <c r="M55" i="2"/>
  <c r="M17" i="2"/>
  <c r="M18" i="2"/>
  <c r="M66" i="2"/>
  <c r="M206" i="2"/>
  <c r="M207" i="2"/>
  <c r="M89" i="2"/>
  <c r="M41" i="2"/>
  <c r="M208" i="2"/>
  <c r="M49" i="2"/>
  <c r="M19" i="2"/>
  <c r="M209" i="2"/>
  <c r="M210" i="2"/>
  <c r="M58" i="2"/>
  <c r="M48" i="2"/>
  <c r="M20" i="2"/>
  <c r="M211" i="2"/>
  <c r="M212" i="2"/>
  <c r="M21" i="2"/>
  <c r="M22" i="2"/>
  <c r="M59" i="2"/>
  <c r="M120" i="2"/>
  <c r="M23" i="2"/>
  <c r="M109" i="2"/>
  <c r="M213" i="2"/>
  <c r="M214" i="2"/>
  <c r="M24" i="2"/>
  <c r="M215" i="2"/>
  <c r="M25" i="2"/>
  <c r="M216" i="2"/>
  <c r="M26" i="2"/>
  <c r="M217" i="2"/>
  <c r="M218" i="2"/>
  <c r="M219" i="2"/>
  <c r="M220" i="2"/>
  <c r="M27" i="2"/>
  <c r="M28" i="2"/>
  <c r="M29" i="2"/>
  <c r="M64" i="2"/>
  <c r="M221" i="2"/>
  <c r="M30" i="2"/>
  <c r="M31" i="2"/>
  <c r="M67" i="2"/>
  <c r="M63" i="2"/>
  <c r="M222" i="2"/>
  <c r="M32" i="2"/>
  <c r="M33" i="2"/>
  <c r="M34" i="2"/>
  <c r="M35" i="2"/>
  <c r="M223" i="2"/>
  <c r="M60" i="2"/>
  <c r="M78" i="2"/>
  <c r="M36" i="2"/>
  <c r="M37" i="2"/>
  <c r="M38" i="2"/>
  <c r="G119" i="2"/>
  <c r="H119" i="2"/>
  <c r="L119" i="2"/>
  <c r="M119" i="2"/>
  <c r="I2" i="2" l="1"/>
  <c r="B3" i="6"/>
  <c r="D3" i="6"/>
  <c r="H2" i="2" l="1"/>
  <c r="I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40EC8A-FE87-44A8-94AF-8674D9C639B5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15F440A-AD32-4129-80B0-2F367C44A49F}" name="WorksheetConnection_05.FOLLOW-UP PEDIDOS DE VENDA - 21.04.xlsx!Tabela1" type="102" refreshedVersion="8" minRefreshableVersion="5">
    <extLst>
      <ext xmlns:x15="http://schemas.microsoft.com/office/spreadsheetml/2010/11/main" uri="{DE250136-89BD-433C-8126-D09CA5730AF9}">
        <x15:connection id="Tabela1" autoDelete="1">
          <x15:rangePr sourceName="_xlcn.WorksheetConnection_05.FOLLOWUPPEDIDOSDEVENDA21.04.xlsxTabela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2">
    <metadataType name="XLRICHVALUE" minSupportedVersion="120000" copy="1" pasteAll="1" pasteValues="1" merge="1" splitFirst="1" rowColShift="1" clearFormats="1" clearComments="1" assign="1" coerce="1"/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abela1].[Vendedor].[All]}"/>
    <s v="{[Tabela1].[Op. Fiscal].[All]}"/>
  </metadataStrings>
  <mdxMetadata count="2">
    <mdx n="0" f="s">
      <ms ns="1" c="0"/>
    </mdx>
    <mdx n="0" f="s">
      <ms ns="2" c="0"/>
    </mdx>
  </mdxMetadata>
  <futureMetadata name="XLRICHVALUE" count="1">
    <bk>
      <extLst>
        <ext uri="{3e2802c4-a4d2-4d8b-9148-e3be6c30e623}">
          <xlrd:rvb i="0"/>
        </ext>
      </extLst>
    </bk>
  </futureMetadata>
  <valueMetadata count="3">
    <bk>
      <rc t="2" v="0"/>
    </bk>
    <bk>
      <rc t="2" v="1"/>
    </bk>
    <bk>
      <rc t="1" v="0"/>
    </bk>
  </valueMetadata>
</metadata>
</file>

<file path=xl/sharedStrings.xml><?xml version="1.0" encoding="utf-8"?>
<sst xmlns="http://schemas.openxmlformats.org/spreadsheetml/2006/main" count="2285" uniqueCount="177">
  <si>
    <t>Pedido</t>
  </si>
  <si>
    <t>Nº Empenho</t>
  </si>
  <si>
    <t>Nome</t>
  </si>
  <si>
    <t>Cidade</t>
  </si>
  <si>
    <t>Data</t>
  </si>
  <si>
    <t>Data Liberação</t>
  </si>
  <si>
    <t>Data Entrega</t>
  </si>
  <si>
    <t>Data Entrega Anterior</t>
  </si>
  <si>
    <t>Dt. Últ. Fornecedor</t>
  </si>
  <si>
    <t>Dt. Previsão Fornecedor</t>
  </si>
  <si>
    <t>Vendedor</t>
  </si>
  <si>
    <t>Operador</t>
  </si>
  <si>
    <t>Op. Fiscal</t>
  </si>
  <si>
    <t>Tipo de Pedido</t>
  </si>
  <si>
    <t>Grupo</t>
  </si>
  <si>
    <t>Programa</t>
  </si>
  <si>
    <t>Entrega Pedido</t>
  </si>
  <si>
    <t>Status da Compra</t>
  </si>
  <si>
    <t>Status Venda</t>
  </si>
  <si>
    <t>Total do Pedido</t>
  </si>
  <si>
    <t>Total Solicitado</t>
  </si>
  <si>
    <t>Saldo Pedido</t>
  </si>
  <si>
    <t>Solic. Compra</t>
  </si>
  <si>
    <t>Comprado</t>
  </si>
  <si>
    <t>Saldo Solic. Compra</t>
  </si>
  <si>
    <t>Total em Romaneio</t>
  </si>
  <si>
    <t>Total Faturado</t>
  </si>
  <si>
    <t>Saldo a Faturar</t>
  </si>
  <si>
    <t>Total Despachado</t>
  </si>
  <si>
    <t>Saldo Despacho</t>
  </si>
  <si>
    <t>Cont</t>
  </si>
  <si>
    <t>MARCUS AMARO</t>
  </si>
  <si>
    <t>ANDERSON DA SILVA OLIVEIRA</t>
  </si>
  <si>
    <t>CONTRATO</t>
  </si>
  <si>
    <t>LIMPEZA</t>
  </si>
  <si>
    <t>ENTREGA TOTAL</t>
  </si>
  <si>
    <t>EM COMPRA</t>
  </si>
  <si>
    <t>EM ESTOQUE</t>
  </si>
  <si>
    <t>ISNAEL DOS SANTOS BORGES</t>
  </si>
  <si>
    <t>NORMAL</t>
  </si>
  <si>
    <t>BRINQUEDO</t>
  </si>
  <si>
    <t>EDUCAÇÃO</t>
  </si>
  <si>
    <t>SEM SOLICITAÇÃO DE COMPRA</t>
  </si>
  <si>
    <t>EM ANDAMENTO</t>
  </si>
  <si>
    <t>EMPRESA - VENDA INTERNA (FUNCIONARIO)</t>
  </si>
  <si>
    <t>EXPEDIENTE</t>
  </si>
  <si>
    <t>PREFEITURA MUNICIPAL DE AQUIRAZ</t>
  </si>
  <si>
    <t>AQUIRAZ</t>
  </si>
  <si>
    <t xml:space="preserve">CICERA SA </t>
  </si>
  <si>
    <t>CONTRATO ANTECIPADO</t>
  </si>
  <si>
    <t>HIGIENE PESSOAL</t>
  </si>
  <si>
    <t>RECEBIDO</t>
  </si>
  <si>
    <t>PARCIAL</t>
  </si>
  <si>
    <t>PREFEITURA MUNICIPAL DE TRAIRI</t>
  </si>
  <si>
    <t>TRAIRI</t>
  </si>
  <si>
    <t>PROVIX DISTRIBUIDORA DE PRODUTOS ALIMENTICIOS LTDA</t>
  </si>
  <si>
    <t>FORTALEZA</t>
  </si>
  <si>
    <t>GENERO ALIMENTICIO</t>
  </si>
  <si>
    <t>COMPRADO</t>
  </si>
  <si>
    <t>PREFEITURA MUNICIPAL DE CAUCAIA</t>
  </si>
  <si>
    <t>CAUCAIA</t>
  </si>
  <si>
    <t>CONTRATO PARCIAL</t>
  </si>
  <si>
    <t>ENTREGA PARCIAL</t>
  </si>
  <si>
    <t>MERENDA ESCOLAR</t>
  </si>
  <si>
    <t>PREFEITURA MUNICIPAL DE ACOPIARA</t>
  </si>
  <si>
    <t>ACOPIARA</t>
  </si>
  <si>
    <t>SUZANA SA</t>
  </si>
  <si>
    <t>COPA E COZINHA</t>
  </si>
  <si>
    <t>PREFEITURA MUNICIPAL DE EUSEBIO</t>
  </si>
  <si>
    <t>EUSEBIO</t>
  </si>
  <si>
    <t>KIT BEBE</t>
  </si>
  <si>
    <t>PERMANENTE</t>
  </si>
  <si>
    <t>PREFEITURA MUNICIPAL DE BEBERIBE</t>
  </si>
  <si>
    <t>BEBERIBE</t>
  </si>
  <si>
    <t>PREFEITURA MUNICIPAL DE ARACATI</t>
  </si>
  <si>
    <t>ARACATI</t>
  </si>
  <si>
    <t xml:space="preserve">AÇÃO SOCIAL </t>
  </si>
  <si>
    <t>HOSPITAL</t>
  </si>
  <si>
    <t>KIT ESCOLAR</t>
  </si>
  <si>
    <t>PROJETO TEABRACE</t>
  </si>
  <si>
    <t>PREFEITURA DE MONSENHOR TABOSA</t>
  </si>
  <si>
    <t>MONSENHOR TABOSA</t>
  </si>
  <si>
    <t>LUCIA RIBEIRO</t>
  </si>
  <si>
    <t>PREFEITURA MUNICIPAL DE GUAIUBA</t>
  </si>
  <si>
    <t>GUAIUBA</t>
  </si>
  <si>
    <t>INDUSTRIALIZADOS</t>
  </si>
  <si>
    <t>TECIDO</t>
  </si>
  <si>
    <t>VALE PARCEIROS</t>
  </si>
  <si>
    <t xml:space="preserve">FARDAMENTO </t>
  </si>
  <si>
    <t>PREFEITURA MUNICIPAL DE FORTALEZA</t>
  </si>
  <si>
    <t>TNT BOLSAS INDUSTRIA E COMERCIO LTDA</t>
  </si>
  <si>
    <t>ESPORTE</t>
  </si>
  <si>
    <t>PREFEITURA MUNICIPAL DE ITAPIPOCA</t>
  </si>
  <si>
    <t>ITAPIPOCA</t>
  </si>
  <si>
    <t>FARDAMENTO E ACESSORIOS</t>
  </si>
  <si>
    <t>SAUDE</t>
  </si>
  <si>
    <t>PREFEITURA MUNICIPAL DE QUIXERAMOBIM</t>
  </si>
  <si>
    <t>QUIXERAMOBIM</t>
  </si>
  <si>
    <t>ENTREGA DIRETA (CONTRATO)</t>
  </si>
  <si>
    <t>MARACANAU</t>
  </si>
  <si>
    <t>INFRA ESTRUTURA</t>
  </si>
  <si>
    <t>ROGERIO LIRA DOS SANTOS ME</t>
  </si>
  <si>
    <t>EXCLUSIVA BOLSA FCF LTDA</t>
  </si>
  <si>
    <t>ENTREGA DIRETA (NORMAL)</t>
  </si>
  <si>
    <t>THB INDUSTRIA E COMERCIO DE CONFECCOES DO VESTUARIO LTDA</t>
  </si>
  <si>
    <t>EM ABERTO</t>
  </si>
  <si>
    <t xml:space="preserve">THIAGO BECCO DE SOUSA </t>
  </si>
  <si>
    <t>%Disp.</t>
  </si>
  <si>
    <t>%Desp.</t>
  </si>
  <si>
    <t>Contato</t>
  </si>
  <si>
    <t>Total Disponível</t>
  </si>
  <si>
    <t>PREFEITURA MUNICIPAL DE GOIANINHA</t>
  </si>
  <si>
    <t>GOIANINHA</t>
  </si>
  <si>
    <t>PARNAIBA</t>
  </si>
  <si>
    <t>BONIFICACAO</t>
  </si>
  <si>
    <t>TIAGO LIRA</t>
  </si>
  <si>
    <t>PREFEITURA MUNICIPAL DE PARNAIBA</t>
  </si>
  <si>
    <t>FERNANDO ANTONIO PEREIRA DOS SANTOS JUNIOR</t>
  </si>
  <si>
    <t>%Falteiro</t>
  </si>
  <si>
    <t>GESTÃO DE PEDIDOS</t>
  </si>
  <si>
    <t>UNIDADE BASICA DE SAUDE</t>
  </si>
  <si>
    <t>NETO SANTANA</t>
  </si>
  <si>
    <t>TCB TRANSPORTES LTDA</t>
  </si>
  <si>
    <t>GASPAR</t>
  </si>
  <si>
    <t>Total Geral</t>
  </si>
  <si>
    <t>Contagem Distinta de Pedido</t>
  </si>
  <si>
    <t>THIAGO BECCO DE SOUSA</t>
  </si>
  <si>
    <t>All</t>
  </si>
  <si>
    <t>PREFEITURA MUNICIPAL DE RUSSAS</t>
  </si>
  <si>
    <t>RUSSAS</t>
  </si>
  <si>
    <t>SECRETARIA MUNICIPAL DE EDUCACAO BASICA DE CEARA MIRIM</t>
  </si>
  <si>
    <t>CEARA-MIRIM</t>
  </si>
  <si>
    <t xml:space="preserve">GABINETE VICE PREFEITO </t>
  </si>
  <si>
    <t>CAMILA BEZERRA LUNA</t>
  </si>
  <si>
    <t>SEGURANÇA PUBLICA</t>
  </si>
  <si>
    <t>PREFEITURA MUNICIPAL DE APUIARES</t>
  </si>
  <si>
    <t>APUIARES</t>
  </si>
  <si>
    <t>SECRETARIA DE FINANÇAS</t>
  </si>
  <si>
    <t>PREFEITURA MUNICIPAL DE SAO BENEDITO</t>
  </si>
  <si>
    <t>SAO BENEDITO</t>
  </si>
  <si>
    <t>GUARAMIRANGA</t>
  </si>
  <si>
    <t>COTACAO</t>
  </si>
  <si>
    <t>PREFEITURA MUNICIPAL DE GUARAMIRANGA</t>
  </si>
  <si>
    <t>VALE FUNCIONARIO</t>
  </si>
  <si>
    <t>ANTONIA YARA DE ALENCAR</t>
  </si>
  <si>
    <t>TIAGO JEDSON DA SILVA LIRA</t>
  </si>
  <si>
    <t>DOACAO</t>
  </si>
  <si>
    <t>EMANOEL CRUZ FERREIRA</t>
  </si>
  <si>
    <t>MUNICIPIO DE SAO JOSE DE RIBAMAR</t>
  </si>
  <si>
    <t>SAO JOSE DE RIBAMAR</t>
  </si>
  <si>
    <t>FINANÇAS</t>
  </si>
  <si>
    <t>ANDRESSA AFILHADA</t>
  </si>
  <si>
    <t>PADRE SA</t>
  </si>
  <si>
    <t>CASA DE VOVÓ DEDÉ</t>
  </si>
  <si>
    <t>SECRETARIA DE ADM. FINANÇAS E PLANEJAMENTO</t>
  </si>
  <si>
    <t>PROTEINA</t>
  </si>
  <si>
    <t>FRANCISCA GARDIA</t>
  </si>
  <si>
    <t>DIRETORIA</t>
  </si>
  <si>
    <t>PREFEITURA MUNICIPAL DE URUBURETAMA</t>
  </si>
  <si>
    <t>PREFEITURA MUNICIPAL DE CARNAUBAL</t>
  </si>
  <si>
    <t>URUBURETAMA</t>
  </si>
  <si>
    <t>CARNAUBAL</t>
  </si>
  <si>
    <t>AVARIAS</t>
  </si>
  <si>
    <t xml:space="preserve">SEC. DE ESPORTE E JUVENTUDE </t>
  </si>
  <si>
    <t>FRANCISCO AILTON</t>
  </si>
  <si>
    <t>PREFEITURA MUNICIPAL DE TAMBORIL</t>
  </si>
  <si>
    <t>PREFEITURA MUNICIPAL DE PARACURU</t>
  </si>
  <si>
    <t>INSTITUTO DA PRIMEIRA INFANCIA</t>
  </si>
  <si>
    <t>TAMBORIL</t>
  </si>
  <si>
    <t>PARACURU</t>
  </si>
  <si>
    <t xml:space="preserve">PATRIMONIO, SERVIÇO PUBLICO E TRANSPORTE </t>
  </si>
  <si>
    <t>INSTITUTO</t>
  </si>
  <si>
    <t>SECRETARIA MUNICIPAL DO TRABALHO</t>
  </si>
  <si>
    <t>DIVERSOS</t>
  </si>
  <si>
    <t>USO COZINHA</t>
  </si>
  <si>
    <t>USO E CONSUMO PROVIX</t>
  </si>
  <si>
    <t>SERETARIA DE DESENVOLVIMENTO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</si>
</sst>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44" fontId="2" fillId="0" borderId="0" xfId="2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10" fontId="2" fillId="2" borderId="0" xfId="1" applyNumberFormat="1" applyFont="1" applyFill="1" applyAlignment="1">
      <alignment horizontal="left" vertical="center"/>
    </xf>
    <xf numFmtId="9" fontId="2" fillId="0" borderId="0" xfId="1" applyFont="1" applyFill="1" applyAlignment="1">
      <alignment horizontal="left" vertical="center"/>
    </xf>
    <xf numFmtId="10" fontId="2" fillId="0" borderId="0" xfId="1" applyNumberFormat="1" applyFont="1" applyFill="1" applyAlignment="1">
      <alignment horizontal="left" vertical="center"/>
    </xf>
    <xf numFmtId="44" fontId="2" fillId="0" borderId="0" xfId="2" applyFont="1" applyFill="1" applyAlignment="1">
      <alignment horizontal="left" vertical="center"/>
    </xf>
    <xf numFmtId="14" fontId="2" fillId="0" borderId="0" xfId="1" applyNumberFormat="1" applyFont="1" applyFill="1" applyAlignment="1">
      <alignment horizontal="left" vertical="center"/>
    </xf>
    <xf numFmtId="2" fontId="2" fillId="0" borderId="0" xfId="2" applyNumberFormat="1" applyFont="1" applyFill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10" fontId="0" fillId="0" borderId="0" xfId="0" applyNumberFormat="1"/>
    <xf numFmtId="14" fontId="0" fillId="0" borderId="0" xfId="0" applyNumberFormat="1"/>
    <xf numFmtId="44" fontId="0" fillId="0" borderId="0" xfId="2" applyFont="1" applyFill="1"/>
    <xf numFmtId="10" fontId="2" fillId="3" borderId="0" xfId="1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9" fontId="5" fillId="0" borderId="0" xfId="1" applyFont="1" applyFill="1" applyAlignment="1">
      <alignment horizontal="centerContinuous" vertical="center" wrapText="1"/>
    </xf>
    <xf numFmtId="10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44" fontId="5" fillId="0" borderId="0" xfId="2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0" fontId="4" fillId="0" borderId="0" xfId="0" applyNumberFormat="1" applyFont="1"/>
    <xf numFmtId="14" fontId="4" fillId="0" borderId="0" xfId="0" applyNumberFormat="1" applyFont="1"/>
    <xf numFmtId="14" fontId="5" fillId="0" borderId="0" xfId="1" applyNumberFormat="1" applyFont="1" applyFill="1" applyAlignment="1">
      <alignment horizontal="left" vertical="center"/>
    </xf>
    <xf numFmtId="44" fontId="4" fillId="0" borderId="0" xfId="2" applyFont="1" applyFill="1"/>
    <xf numFmtId="2" fontId="5" fillId="0" borderId="0" xfId="2" applyNumberFormat="1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0" fontId="2" fillId="0" borderId="0" xfId="1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9" fontId="6" fillId="0" borderId="0" xfId="1" applyFont="1" applyFill="1" applyAlignment="1">
      <alignment horizontal="left" vertical="center"/>
    </xf>
    <xf numFmtId="10" fontId="6" fillId="0" borderId="0" xfId="1" applyNumberFormat="1" applyFont="1" applyFill="1" applyAlignment="1">
      <alignment horizontal="left" vertical="center"/>
    </xf>
    <xf numFmtId="44" fontId="6" fillId="0" borderId="0" xfId="2" applyFont="1" applyFill="1" applyAlignment="1">
      <alignment horizontal="left" vertical="center"/>
    </xf>
    <xf numFmtId="14" fontId="6" fillId="0" borderId="0" xfId="1" applyNumberFormat="1" applyFont="1" applyFill="1" applyAlignment="1">
      <alignment horizontal="left" vertical="center"/>
    </xf>
    <xf numFmtId="2" fontId="6" fillId="0" borderId="0" xfId="2" applyNumberFormat="1" applyFont="1" applyFill="1" applyAlignment="1">
      <alignment horizontal="left" vertical="center"/>
    </xf>
    <xf numFmtId="44" fontId="2" fillId="0" borderId="0" xfId="2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44" fontId="6" fillId="0" borderId="0" xfId="2" applyFont="1" applyFill="1" applyAlignment="1">
      <alignment horizontal="center" vertical="center"/>
    </xf>
    <xf numFmtId="14" fontId="6" fillId="0" borderId="0" xfId="0" applyNumberFormat="1" applyFont="1" applyAlignment="1">
      <alignment horizontal="left" vertical="center"/>
    </xf>
  </cellXfs>
  <cellStyles count="3">
    <cellStyle name="Moeda" xfId="2" builtinId="4"/>
    <cellStyle name="Normal" xfId="0" builtinId="0"/>
    <cellStyle name="Porcentagem" xfId="1" builtinId="5"/>
  </cellStyles>
  <dxfs count="92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lef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1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vix CD" refreshedDate="46173.893718055559" backgroundQuery="1" createdVersion="8" refreshedVersion="8" minRefreshableVersion="3" recordCount="0" supportSubquery="1" supportAdvancedDrill="1" xr:uid="{622C0192-63D4-4541-B455-578E2FA23E79}">
  <cacheSource type="external" connectionId="1"/>
  <cacheFields count="5">
    <cacheField name="[Tabela1].[Cidade].[Cidade]" caption="Cidade" numFmtId="0" hierarchy="3" level="1">
      <sharedItems count="26">
        <s v="ACOPIARA"/>
        <s v="APUIARES"/>
        <s v="AQUIRAZ"/>
        <s v="ARACATI"/>
        <s v="BEBERIBE"/>
        <s v="CARNAUBAL"/>
        <s v="CAUCAIA"/>
        <s v="CEARA-MIRIM"/>
        <s v="EUSEBIO"/>
        <s v="FORTALEZA"/>
        <s v="GASPAR"/>
        <s v="GOIANINHA"/>
        <s v="GUAIUBA"/>
        <s v="GUARAMIRANGA"/>
        <s v="ITAPIPOCA"/>
        <s v="MARACANAU"/>
        <s v="MONSENHOR TABOSA"/>
        <s v="PARACURU"/>
        <s v="PARNAIBA"/>
        <s v="QUIXERAMOBIM"/>
        <s v="RUSSAS"/>
        <s v="SAO BENEDITO"/>
        <s v="SAO JOSE DE RIBAMAR"/>
        <s v="TAMBORIL"/>
        <s v="TRAIRI"/>
        <s v="URUBURETAMA"/>
      </sharedItems>
    </cacheField>
    <cacheField name="[Measures].[Contagem Distinta de Pedido]" caption="Contagem Distinta de Pedido" numFmtId="0" hierarchy="39" level="32767"/>
    <cacheField name="[Tabela1].[Nome].[Nome]" caption="Nome" numFmtId="0" level="1">
      <sharedItems count="41">
        <s v="PREFEITURA MUNICIPAL DE ACOPIARA"/>
        <s v="PREFEITURA MUNICIPAL DE APUIARES"/>
        <s v="PREFEITURA MUNICIPAL DE AQUIRAZ"/>
        <s v="PREFEITURA MUNICIPAL DE ARACATI"/>
        <s v="PREFEITURA MUNICIPAL DE BEBERIBE"/>
        <s v="PREFEITURA MUNICIPAL DE CARNAUBAL"/>
        <s v="PREFEITURA MUNICIPAL DE CAUCAIA"/>
        <s v="SECRETARIA MUNICIPAL DE EDUCACAO BASICA DE CEARA MIRIM"/>
        <s v="PREFEITURA MUNICIPAL DE EUSEBIO"/>
        <s v="THIAGO BECCO DE SOUSA"/>
        <s v="ANDRESSA AFILHADA"/>
        <s v="ANTONIA YARA DE ALENCAR"/>
        <s v="CASA DE VOVÓ DEDÉ"/>
        <s v="EXCLUSIVA BOLSA FCF LTDA"/>
        <s v="FERNANDO ANTONIO PEREIRA DOS SANTOS JUNIOR"/>
        <s v="FRANCISCA GARDIA"/>
        <s v="INSTITUTO DA PRIMEIRA INFANCIA"/>
        <s v="NETO SANTANA"/>
        <s v="PADRE SA"/>
        <s v="PREFEITURA MUNICIPAL DE FORTALEZA"/>
        <s v="PROVIX DISTRIBUIDORA DE PRODUTOS ALIMENTICIOS LTDA"/>
        <s v="THB INDUSTRIA E COMERCIO DE CONFECCOES DO VESTUARIO LTDA"/>
        <s v="TIAGO JEDSON DA SILVA LIRA"/>
        <s v="TNT BOLSAS INDUSTRIA E COMERCIO LTDA"/>
        <s v="TCB TRANSPORTES LTDA"/>
        <s v="PREFEITURA MUNICIPAL DE GOIANINHA"/>
        <s v="PREFEITURA MUNICIPAL DE GUAIUBA"/>
        <s v="PREFEITURA MUNICIPAL DE GUARAMIRANGA"/>
        <s v="PREFEITURA MUNICIPAL DE ITAPIPOCA"/>
        <s v="EMANOEL CRUZ FERREIRA"/>
        <s v="ROGERIO LIRA DOS SANTOS ME"/>
        <s v="PREFEITURA DE MONSENHOR TABOSA"/>
        <s v="PREFEITURA MUNICIPAL DE PARACURU"/>
        <s v="PREFEITURA MUNICIPAL DE PARNAIBA"/>
        <s v="PREFEITURA MUNICIPAL DE QUIXERAMOBIM"/>
        <s v="PREFEITURA MUNICIPAL DE RUSSAS"/>
        <s v="PREFEITURA MUNICIPAL DE SAO BENEDITO"/>
        <s v="MUNICIPIO DE SAO JOSE DE RIBAMAR"/>
        <s v="PREFEITURA MUNICIPAL DE TAMBORIL"/>
        <s v="PREFEITURA MUNICIPAL DE TRAIRI"/>
        <s v="PREFEITURA MUNICIPAL DE URUBURETAMA"/>
      </sharedItems>
    </cacheField>
    <cacheField name="[Tabela1].[Vendedor].[Vendedor]" caption="Vendedor" numFmtId="0" hierarchy="18" level="1">
      <sharedItems containsSemiMixedTypes="0" containsNonDate="0" containsString="0"/>
    </cacheField>
    <cacheField name="[Tabela1].[Op. Fiscal].[Op. Fiscal]" caption="Op. Fiscal" numFmtId="0" hierarchy="20" level="1">
      <sharedItems containsSemiMixedTypes="0" containsNonDate="0" containsString="0"/>
    </cacheField>
  </cacheFields>
  <cacheHierarchies count="40">
    <cacheHierarchy uniqueName="[Tabela1].[Nome]" caption="Nome" attribute="1" defaultMemberUniqueName="[Tabela1].[Nome].[All]" allUniqueName="[Tabela1].[Nome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Pedido]" caption="Pedido" attribute="1" defaultMemberUniqueName="[Tabela1].[Pedido].[All]" allUniqueName="[Tabela1].[Pedido].[All]" dimensionUniqueName="[Tabela1]" displayFolder="" count="0" memberValueDatatype="20" unbalanced="0"/>
    <cacheHierarchy uniqueName="[Tabela1].[Nº Empenho]" caption="Nº Empenho" attribute="1" defaultMemberUniqueName="[Tabela1].[Nº Empenho].[All]" allUniqueName="[Tabela1].[Nº Empenho].[All]" dimensionUniqueName="[Tabela1]" displayFolder="" count="0" memberValueDatatype="20" unbalanced="0"/>
    <cacheHierarchy uniqueName="[Tabela1].[Cidade]" caption="Cidade" attribute="1" defaultMemberUniqueName="[Tabela1].[Cidade].[All]" allUniqueName="[Tabela1].[Cidade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Grupo]" caption="Grupo" attribute="1" defaultMemberUniqueName="[Tabela1].[Grupo].[All]" allUniqueName="[Tabela1].[Grupo].[All]" dimensionUniqueName="[Tabela1]" displayFolder="" count="0" memberValueDatatype="130" unbalanced="0"/>
    <cacheHierarchy uniqueName="[Tabela1].[Programa]" caption="Programa" attribute="1" defaultMemberUniqueName="[Tabela1].[Programa].[All]" allUniqueName="[Tabela1].[Programa].[All]" dimensionUniqueName="[Tabela1]" displayFolder="" count="0" memberValueDatatype="130" unbalanced="0"/>
    <cacheHierarchy uniqueName="[Tabela1].[%Disp.]" caption="%Disp." attribute="1" defaultMemberUniqueName="[Tabela1].[%Disp.].[All]" allUniqueName="[Tabela1].[%Disp.].[All]" dimensionUniqueName="[Tabela1]" displayFolder="" count="0" memberValueDatatype="5" unbalanced="0"/>
    <cacheHierarchy uniqueName="[Tabela1].[Total Disponível]" caption="Total Disponível" attribute="1" defaultMemberUniqueName="[Tabela1].[Total Disponível].[All]" allUniqueName="[Tabela1].[Total Disponível].[All]" dimensionUniqueName="[Tabela1]" displayFolder="" count="0" memberValueDatatype="5" unbalanced="0"/>
    <cacheHierarchy uniqueName="[Tabela1].[Total do Pedido]" caption="Total do Pedido" attribute="1" defaultMemberUniqueName="[Tabela1].[Total do Pedido].[All]" allUniqueName="[Tabela1].[Total do Pedido].[All]" dimensionUniqueName="[Tabela1]" displayFolder="" count="0" memberValueDatatype="5" unbalanced="0"/>
    <cacheHierarchy uniqueName="[Tabela1].[Data Entrega]" caption="Data Entrega" attribute="1" time="1" defaultMemberUniqueName="[Tabela1].[Data Entrega].[All]" allUniqueName="[Tabela1].[Data Entrega].[All]" dimensionUniqueName="[Tabela1]" displayFolder="" count="0" memberValueDatatype="7" unbalanced="0"/>
    <cacheHierarchy uniqueName="[Tabela1].[Contato]" caption="Contato" attribute="1" defaultMemberUniqueName="[Tabela1].[Contato].[All]" allUniqueName="[Tabela1].[Contato].[All]" dimensionUniqueName="[Tabela1]" displayFolder="" count="0" memberValueDatatype="130" unbalanced="0"/>
    <cacheHierarchy uniqueName="[Tabela1].[%Falteiro]" caption="%Falteiro" attribute="1" defaultMemberUniqueName="[Tabela1].[%Falteiro].[All]" allUniqueName="[Tabela1].[%Falteiro].[All]" dimensionUniqueName="[Tabela1]" displayFolder="" count="0" memberValueDatatype="5" unbalanced="0"/>
    <cacheHierarchy uniqueName="[Tabela1].[%Desp.]" caption="%Desp." attribute="1" defaultMemberUniqueName="[Tabela1].[%Desp.].[All]" allUniqueName="[Tabela1].[%Desp.].[All]" dimensionUniqueName="[Tabela1]" displayFolder="" count="0" memberValueDatatype="5" unbalanced="0"/>
    <cacheHierarchy uniqueName="[Tabela1].[Data]" caption="Data" attribute="1" time="1" defaultMemberUniqueName="[Tabela1].[Data].[All]" allUniqueName="[Tabela1].[Data].[All]" dimensionUniqueName="[Tabela1]" displayFolder="" count="0" memberValueDatatype="7" unbalanced="0"/>
    <cacheHierarchy uniqueName="[Tabela1].[Data Liberação]" caption="Data Liberação" attribute="1" time="1" defaultMemberUniqueName="[Tabela1].[Data Liberação].[All]" allUniqueName="[Tabela1].[Data Liberação].[All]" dimensionUniqueName="[Tabela1]" displayFolder="" count="0" memberValueDatatype="7" unbalanced="0"/>
    <cacheHierarchy uniqueName="[Tabela1].[Data Entrega Anterior]" caption="Data Entrega Anterior" attribute="1" time="1" defaultMemberUniqueName="[Tabela1].[Data Entrega Anterior].[All]" allUniqueName="[Tabela1].[Data Entrega Anterior].[All]" dimensionUniqueName="[Tabela1]" displayFolder="" count="0" memberValueDatatype="7" unbalanced="0"/>
    <cacheHierarchy uniqueName="[Tabela1].[Dt. Últ. Fornecedor]" caption="Dt. Últ. Fornecedor" attribute="1" time="1" defaultMemberUniqueName="[Tabela1].[Dt. Últ. Fornecedor].[All]" allUniqueName="[Tabela1].[Dt. Últ. Fornecedor].[All]" dimensionUniqueName="[Tabela1]" displayFolder="" count="0" memberValueDatatype="7" unbalanced="0"/>
    <cacheHierarchy uniqueName="[Tabela1].[Dt. Previsão Fornecedor]" caption="Dt. Previsão Fornecedor" attribute="1" time="1" defaultMemberUniqueName="[Tabela1].[Dt. Previsão Fornecedor].[All]" allUniqueName="[Tabela1].[Dt. Previsão Fornecedor].[All]" dimensionUniqueName="[Tabela1]" displayFolder="" count="0" memberValueDatatype="7" unbalanced="0"/>
    <cacheHierarchy uniqueName="[Tabela1].[Vendedor]" caption="Vendedor" attribute="1" defaultMemberUniqueName="[Tabela1].[Vendedor].[All]" allUniqueName="[Tabela1].[Vendedor].[All]" dimensionUniqueName="[Tabela1]" displayFolder="" count="2" memberValueDatatype="130" unbalanced="0">
      <fieldsUsage count="2">
        <fieldUsage x="-1"/>
        <fieldUsage x="3"/>
      </fieldsUsage>
    </cacheHierarchy>
    <cacheHierarchy uniqueName="[Tabela1].[Operador]" caption="Operador" attribute="1" defaultMemberUniqueName="[Tabela1].[Operador].[All]" allUniqueName="[Tabela1].[Operador].[All]" dimensionUniqueName="[Tabela1]" displayFolder="" count="0" memberValueDatatype="130" unbalanced="0"/>
    <cacheHierarchy uniqueName="[Tabela1].[Op. Fiscal]" caption="Op. Fiscal" attribute="1" defaultMemberUniqueName="[Tabela1].[Op. Fiscal].[All]" allUniqueName="[Tabela1].[Op. Fiscal].[All]" dimensionUniqueName="[Tabela1]" displayFolder="" count="2" memberValueDatatype="20" unbalanced="0">
      <fieldsUsage count="2">
        <fieldUsage x="-1"/>
        <fieldUsage x="4"/>
      </fieldsUsage>
    </cacheHierarchy>
    <cacheHierarchy uniqueName="[Tabela1].[Tipo de Pedido]" caption="Tipo de Pedido" attribute="1" defaultMemberUniqueName="[Tabela1].[Tipo de Pedido].[All]" allUniqueName="[Tabela1].[Tipo de Pedido].[All]" dimensionUniqueName="[Tabela1]" displayFolder="" count="0" memberValueDatatype="130" unbalanced="0"/>
    <cacheHierarchy uniqueName="[Tabela1].[Entrega Pedido]" caption="Entrega Pedido" attribute="1" defaultMemberUniqueName="[Tabela1].[Entrega Pedido].[All]" allUniqueName="[Tabela1].[Entrega Pedido].[All]" dimensionUniqueName="[Tabela1]" displayFolder="" count="0" memberValueDatatype="130" unbalanced="0"/>
    <cacheHierarchy uniqueName="[Tabela1].[Status da Compra]" caption="Status da Compra" attribute="1" defaultMemberUniqueName="[Tabela1].[Status da Compra].[All]" allUniqueName="[Tabela1].[Status da Compra].[All]" dimensionUniqueName="[Tabela1]" displayFolder="" count="0" memberValueDatatype="130" unbalanced="0"/>
    <cacheHierarchy uniqueName="[Tabela1].[Status Venda]" caption="Status Venda" attribute="1" defaultMemberUniqueName="[Tabela1].[Status Venda].[All]" allUniqueName="[Tabela1].[Status Venda].[All]" dimensionUniqueName="[Tabela1]" displayFolder="" count="0" memberValueDatatype="130" unbalanced="0"/>
    <cacheHierarchy uniqueName="[Tabela1].[Total Solicitado]" caption="Total Solicitado" attribute="1" defaultMemberUniqueName="[Tabela1].[Total Solicitado].[All]" allUniqueName="[Tabela1].[Total Solicitado].[All]" dimensionUniqueName="[Tabela1]" displayFolder="" count="0" memberValueDatatype="5" unbalanced="0"/>
    <cacheHierarchy uniqueName="[Tabela1].[Saldo Pedido]" caption="Saldo Pedido" attribute="1" defaultMemberUniqueName="[Tabela1].[Saldo Pedido].[All]" allUniqueName="[Tabela1].[Saldo Pedido].[All]" dimensionUniqueName="[Tabela1]" displayFolder="" count="0" memberValueDatatype="5" unbalanced="0"/>
    <cacheHierarchy uniqueName="[Tabela1].[Solic. Compra]" caption="Solic. Compra" attribute="1" defaultMemberUniqueName="[Tabela1].[Solic. Compra].[All]" allUniqueName="[Tabela1].[Solic. Compra].[All]" dimensionUniqueName="[Tabela1]" displayFolder="" count="0" memberValueDatatype="5" unbalanced="0"/>
    <cacheHierarchy uniqueName="[Tabela1].[Comprado]" caption="Comprado" attribute="1" defaultMemberUniqueName="[Tabela1].[Comprado].[All]" allUniqueName="[Tabela1].[Comprado].[All]" dimensionUniqueName="[Tabela1]" displayFolder="" count="0" memberValueDatatype="5" unbalanced="0"/>
    <cacheHierarchy uniqueName="[Tabela1].[Saldo Solic. Compra]" caption="Saldo Solic. Compra" attribute="1" defaultMemberUniqueName="[Tabela1].[Saldo Solic. Compra].[All]" allUniqueName="[Tabela1].[Saldo Solic. Compra].[All]" dimensionUniqueName="[Tabela1]" displayFolder="" count="0" memberValueDatatype="5" unbalanced="0"/>
    <cacheHierarchy uniqueName="[Tabela1].[Total em Romaneio]" caption="Total em Romaneio" attribute="1" defaultMemberUniqueName="[Tabela1].[Total em Romaneio].[All]" allUniqueName="[Tabela1].[Total em Romaneio].[All]" dimensionUniqueName="[Tabela1]" displayFolder="" count="0" memberValueDatatype="5" unbalanced="0"/>
    <cacheHierarchy uniqueName="[Tabela1].[Total Faturado]" caption="Total Faturado" attribute="1" defaultMemberUniqueName="[Tabela1].[Total Faturado].[All]" allUniqueName="[Tabela1].[Total Faturado].[All]" dimensionUniqueName="[Tabela1]" displayFolder="" count="0" memberValueDatatype="5" unbalanced="0"/>
    <cacheHierarchy uniqueName="[Tabela1].[Saldo a Faturar]" caption="Saldo a Faturar" attribute="1" defaultMemberUniqueName="[Tabela1].[Saldo a Faturar].[All]" allUniqueName="[Tabela1].[Saldo a Faturar].[All]" dimensionUniqueName="[Tabela1]" displayFolder="" count="0" memberValueDatatype="5" unbalanced="0"/>
    <cacheHierarchy uniqueName="[Tabela1].[Total Despachado]" caption="Total Despachado" attribute="1" defaultMemberUniqueName="[Tabela1].[Total Despachado].[All]" allUniqueName="[Tabela1].[Total Despachado].[All]" dimensionUniqueName="[Tabela1]" displayFolder="" count="0" memberValueDatatype="5" unbalanced="0"/>
    <cacheHierarchy uniqueName="[Tabela1].[Saldo Despacho]" caption="Saldo Despacho" attribute="1" defaultMemberUniqueName="[Tabela1].[Saldo Despacho].[All]" allUniqueName="[Tabela1].[Saldo Despacho].[All]" dimensionUniqueName="[Tabela1]" displayFolder="" count="0" memberValueDatatype="5" unbalanced="0"/>
    <cacheHierarchy uniqueName="[Tabela1].[Cont]" caption="Cont" attribute="1" defaultMemberUniqueName="[Tabela1].[Cont].[All]" allUniqueName="[Tabela1].[Cont].[All]" dimensionUniqueName="[Tabela1]" displayFolder="" count="0" memberValueDatatype="20" unbalanced="0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Pedido]" caption="Soma de Pedido" measure="1" displayFolder="" measureGroup="Tabela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Pedido]" caption="Contagem Distinta de Pedido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5991B-A6AE-4019-BC05-D041C7692DB9}" name="Tabela dinâmica1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4:D46" firstHeaderRow="1" firstDataRow="1" firstDataCol="2" rowPageCount="2" colPageCount="1"/>
  <pivotFields count="5">
    <pivotField axis="axisRow" compact="0" allDrilled="1" outline="0" showAll="0" sortType="descending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 defaultSubtotal="0"/>
    <pivotField axis="axisRow" compact="0" allDrilled="1" outline="0" showAll="0" dataSourceSort="1" defaultSubtotal="0" defaultAttributeDrillState="1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</pivotFields>
  <rowFields count="2">
    <field x="0"/>
    <field x="2"/>
  </rowFields>
  <rowItems count="42">
    <i>
      <x v="9"/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24"/>
      <x v="39"/>
    </i>
    <i>
      <x v="6"/>
      <x v="6"/>
    </i>
    <i>
      <x/>
      <x/>
    </i>
    <i>
      <x v="1"/>
      <x v="1"/>
    </i>
    <i>
      <x v="14"/>
      <x v="28"/>
    </i>
    <i>
      <x v="8"/>
      <x v="8"/>
    </i>
    <i r="1">
      <x v="9"/>
    </i>
    <i>
      <x v="3"/>
      <x v="3"/>
    </i>
    <i>
      <x v="11"/>
      <x v="25"/>
    </i>
    <i>
      <x v="25"/>
      <x v="40"/>
    </i>
    <i>
      <x v="13"/>
      <x v="27"/>
    </i>
    <i>
      <x v="21"/>
      <x v="36"/>
    </i>
    <i>
      <x v="2"/>
      <x v="2"/>
    </i>
    <i>
      <x v="15"/>
      <x v="29"/>
    </i>
    <i r="1">
      <x v="30"/>
    </i>
    <i>
      <x v="4"/>
      <x v="4"/>
    </i>
    <i>
      <x v="16"/>
      <x v="31"/>
    </i>
    <i>
      <x v="20"/>
      <x v="35"/>
    </i>
    <i>
      <x v="7"/>
      <x v="7"/>
    </i>
    <i>
      <x v="5"/>
      <x v="5"/>
    </i>
    <i>
      <x v="18"/>
      <x v="33"/>
    </i>
    <i>
      <x v="12"/>
      <x v="26"/>
    </i>
    <i>
      <x v="19"/>
      <x v="34"/>
    </i>
    <i>
      <x v="10"/>
      <x v="24"/>
    </i>
    <i>
      <x v="17"/>
      <x v="32"/>
    </i>
    <i>
      <x v="22"/>
      <x v="37"/>
    </i>
    <i>
      <x v="23"/>
      <x v="38"/>
    </i>
    <i t="grand">
      <x/>
    </i>
  </rowItems>
  <colItems count="1">
    <i/>
  </colItems>
  <pageFields count="2">
    <pageField fld="3" hier="18" name="[Tabela1].[Vendedor].[All]" cap="All"/>
    <pageField fld="4" hier="20" name="[Tabela1].[Op. Fiscal].[All]" cap="All"/>
  </pageFields>
  <dataFields count="1">
    <dataField name="Contagem Distinta de Pedido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54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0" type="button" dataOnly="0" labelOnly="1" outline="0" axis="axisRow" fieldPosition="0"/>
    </format>
    <format dxfId="50">
      <pivotArea field="2" type="button" dataOnly="0" labelOnly="1" outline="0" axis="axisRow" fieldPosition="1"/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field="2" type="button" dataOnly="0" labelOnly="1" outline="0" axis="axisRow" fieldPosition="1"/>
    </format>
    <format dxfId="43">
      <pivotArea dataOnly="0" labelOnly="1" outline="0" fieldPosition="0">
        <references count="1">
          <reference field="0" count="0"/>
        </references>
      </pivotArea>
    </format>
    <format dxfId="42">
      <pivotArea dataOnly="0" labelOnly="1" grandRow="1" outline="0" fieldPosition="0"/>
    </format>
    <format dxfId="41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3"/>
          </reference>
          <reference field="2" count="1">
            <x v="3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4"/>
          </reference>
          <reference field="2" count="1">
            <x v="4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6"/>
          </reference>
          <reference field="2" count="1">
            <x v="6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8"/>
          </reference>
          <reference field="2" count="2">
            <x v="8"/>
            <x v="9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9"/>
          </reference>
          <reference field="2" count="7">
            <x v="13"/>
            <x v="14"/>
            <x v="17"/>
            <x v="19"/>
            <x v="20"/>
            <x v="21"/>
            <x v="23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10"/>
          </reference>
          <reference field="2" count="1">
            <x v="24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11"/>
          </reference>
          <reference field="2" count="1">
            <x v="25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12"/>
          </reference>
          <reference field="2" count="1">
            <x v="26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14"/>
          </reference>
          <reference field="2" count="1">
            <x v="28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15"/>
          </reference>
          <reference field="2" count="1">
            <x v="30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16"/>
          </reference>
          <reference field="2" count="1">
            <x v="31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18"/>
          </reference>
          <reference field="2" count="1">
            <x v="33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19"/>
          </reference>
          <reference field="2" count="1">
            <x v="34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24"/>
          </reference>
          <reference field="2" count="1">
            <x v="39"/>
          </reference>
        </references>
      </pivotArea>
    </format>
    <format dxfId="25">
      <pivotArea dataOnly="0" labelOnly="1" outline="0" axis="axisValues" fieldPosition="0"/>
    </format>
    <format dxfId="24">
      <pivotArea dataOnly="0" labelOnly="1" outline="0" fieldPosition="0">
        <references count="1">
          <reference field="0" count="0"/>
        </references>
      </pivotArea>
    </format>
    <format dxfId="23">
      <pivotArea dataOnly="0" labelOnly="1" outline="0" fieldPosition="0">
        <references count="1">
          <reference field="2" count="0"/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field="2" type="button" dataOnly="0" labelOnly="1" outline="0" axis="axisRow" fieldPosition="1"/>
    </format>
    <format dxfId="18">
      <pivotArea dataOnly="0" labelOnly="1" outline="0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3"/>
          </reference>
          <reference field="2" count="1">
            <x v="3"/>
          </reference>
        </references>
      </pivotArea>
    </format>
    <format dxfId="13">
      <pivotArea dataOnly="0" labelOnly="1" outline="0" fieldPosition="0">
        <references count="2">
          <reference field="0" count="1" selected="0">
            <x v="4"/>
          </reference>
          <reference field="2" count="1">
            <x v="4"/>
          </reference>
        </references>
      </pivotArea>
    </format>
    <format dxfId="12">
      <pivotArea dataOnly="0" labelOnly="1" outline="0" fieldPosition="0">
        <references count="2">
          <reference field="0" count="1" selected="0">
            <x v="6"/>
          </reference>
          <reference field="2" count="1">
            <x v="6"/>
          </reference>
        </references>
      </pivotArea>
    </format>
    <format dxfId="11">
      <pivotArea dataOnly="0" labelOnly="1" outline="0" fieldPosition="0">
        <references count="2">
          <reference field="0" count="1" selected="0">
            <x v="8"/>
          </reference>
          <reference field="2" count="2">
            <x v="8"/>
            <x v="9"/>
          </reference>
        </references>
      </pivotArea>
    </format>
    <format dxfId="10">
      <pivotArea dataOnly="0" labelOnly="1" outline="0" fieldPosition="0">
        <references count="2">
          <reference field="0" count="1" selected="0">
            <x v="9"/>
          </reference>
          <reference field="2" count="7">
            <x v="13"/>
            <x v="14"/>
            <x v="17"/>
            <x v="19"/>
            <x v="20"/>
            <x v="21"/>
            <x v="23"/>
          </reference>
        </references>
      </pivotArea>
    </format>
    <format dxfId="9">
      <pivotArea dataOnly="0" labelOnly="1" outline="0" fieldPosition="0">
        <references count="2">
          <reference field="0" count="1" selected="0">
            <x v="10"/>
          </reference>
          <reference field="2" count="1">
            <x v="24"/>
          </reference>
        </references>
      </pivotArea>
    </format>
    <format dxfId="8">
      <pivotArea dataOnly="0" labelOnly="1" outline="0" fieldPosition="0">
        <references count="2">
          <reference field="0" count="1" selected="0">
            <x v="11"/>
          </reference>
          <reference field="2" count="1">
            <x v="25"/>
          </reference>
        </references>
      </pivotArea>
    </format>
    <format dxfId="7">
      <pivotArea dataOnly="0" labelOnly="1" outline="0" fieldPosition="0">
        <references count="2">
          <reference field="0" count="1" selected="0">
            <x v="12"/>
          </reference>
          <reference field="2" count="1">
            <x v="26"/>
          </reference>
        </references>
      </pivotArea>
    </format>
    <format dxfId="6">
      <pivotArea dataOnly="0" labelOnly="1" outline="0" fieldPosition="0">
        <references count="2">
          <reference field="0" count="1" selected="0">
            <x v="14"/>
          </reference>
          <reference field="2" count="1">
            <x v="28"/>
          </reference>
        </references>
      </pivotArea>
    </format>
    <format dxfId="5">
      <pivotArea dataOnly="0" labelOnly="1" outline="0" fieldPosition="0">
        <references count="2">
          <reference field="0" count="1" selected="0">
            <x v="15"/>
          </reference>
          <reference field="2" count="1">
            <x v="30"/>
          </reference>
        </references>
      </pivotArea>
    </format>
    <format dxfId="4">
      <pivotArea dataOnly="0" labelOnly="1" outline="0" fieldPosition="0">
        <references count="2">
          <reference field="0" count="1" selected="0">
            <x v="16"/>
          </reference>
          <reference field="2" count="1">
            <x v="31"/>
          </reference>
        </references>
      </pivotArea>
    </format>
    <format dxfId="3">
      <pivotArea dataOnly="0" labelOnly="1" outline="0" fieldPosition="0">
        <references count="2">
          <reference field="0" count="1" selected="0">
            <x v="18"/>
          </reference>
          <reference field="2" count="1">
            <x v="33"/>
          </reference>
        </references>
      </pivotArea>
    </format>
    <format dxfId="2">
      <pivotArea dataOnly="0" labelOnly="1" outline="0" fieldPosition="0">
        <references count="2">
          <reference field="0" count="1" selected="0">
            <x v="19"/>
          </reference>
          <reference field="2" count="1">
            <x v="34"/>
          </reference>
        </references>
      </pivotArea>
    </format>
    <format dxfId="1">
      <pivotArea dataOnly="0" labelOnly="1" outline="0" fieldPosition="0">
        <references count="2">
          <reference field="0" count="1" selected="0">
            <x v="24"/>
          </reference>
          <reference field="2" count="1">
            <x v="39"/>
          </reference>
        </references>
      </pivotArea>
    </format>
    <format dxfId="0">
      <pivotArea dataOnly="0" labelOnly="1" outline="0" axis="axisValues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Pedido"/>
  </pivotHierarchies>
  <pivotTableStyleInfo name="PivotStyleLight16" showRowHeaders="1" showColHeaders="1" showRowStripes="1" showColStripes="0" showLastColumn="1"/>
  <rowHierarchiesUsage count="2">
    <rowHierarchyUsage hierarchyUsage="3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5.FOLLOW-UP PEDIDOS DE VENDA - 21.04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CCF089-FDE5-4921-A8D4-007931BE4F81}" name="Tabela1" displayName="Tabela1" ref="A4:AJ223" totalsRowShown="0" headerRowDxfId="91" dataDxfId="90">
  <autoFilter ref="A4:AJ223" xr:uid="{F3CCF089-FDE5-4921-A8D4-007931BE4F81}">
    <filterColumn colId="3">
      <filters>
        <filter val="ACOPIARA"/>
      </filters>
    </filterColumn>
  </autoFilter>
  <tableColumns count="36">
    <tableColumn id="5" xr3:uid="{31C9B0B3-F291-4A72-B8C9-DB9F45878C87}" name="Nome" dataDxfId="89"/>
    <tableColumn id="1" xr3:uid="{458F5552-8BED-4A95-8268-3B4D5A8F703A}" name="Pedido" dataDxfId="88"/>
    <tableColumn id="3" xr3:uid="{0BD73F91-534B-434E-862D-A4C13F915E2B}" name="Nº Empenho" dataDxfId="87"/>
    <tableColumn id="6" xr3:uid="{3986F86A-A371-4FD6-B526-A4110DC7C7FD}" name="Cidade" dataDxfId="86"/>
    <tableColumn id="18" xr3:uid="{9903D10F-39B4-404F-ACF1-3DB49AAFF45E}" name="Grupo" dataDxfId="85"/>
    <tableColumn id="19" xr3:uid="{210F76A6-1DEF-4874-B6A7-D52F04ED57C8}" name="Programa" dataDxfId="84"/>
    <tableColumn id="40" xr3:uid="{72C17FD6-E7A3-4399-9FB5-924CC417A708}" name="%Disp." dataDxfId="83" dataCellStyle="Porcentagem">
      <calculatedColumnFormula>SUM(Tabela1[[#This Row],[Total em Romaneio]],Tabela1[[#This Row],[Saldo Despacho]])/Tabela1[[#This Row],[Total do Pedido]]</calculatedColumnFormula>
    </tableColumn>
    <tableColumn id="2" xr3:uid="{9676D487-A9C7-4EB5-9DDB-26116B08AEE8}" name="Total Disponível" dataDxfId="82" dataCellStyle="Moeda">
      <calculatedColumnFormula>SUM(Tabela1[[#This Row],[Total em Romaneio]],Tabela1[[#This Row],[Saldo Despacho]])</calculatedColumnFormula>
    </tableColumn>
    <tableColumn id="23" xr3:uid="{499004A3-F71F-4404-9B0D-CC0D3CB29272}" name="Total do Pedido" dataDxfId="81" dataCellStyle="Moeda"/>
    <tableColumn id="10" xr3:uid="{0BA1BA9B-029A-4FED-BF84-33ED41A46378}" name="Data Entrega" dataDxfId="80" dataCellStyle="Porcentagem"/>
    <tableColumn id="9" xr3:uid="{1367DF65-51E6-4B6A-A605-7991CE6DAFE9}" name="Contato" dataDxfId="79"/>
    <tableColumn id="4" xr3:uid="{560C8120-A0C2-4C3C-8D48-113439237038}" name="%Falteiro" dataDxfId="78" dataCellStyle="Porcentagem">
      <calculatedColumnFormula>Tabela1[[#This Row],[Saldo Pedido]]/Tabela1[[#This Row],[Total do Pedido]]</calculatedColumnFormula>
    </tableColumn>
    <tableColumn id="42" xr3:uid="{9F7EFD0B-C3FD-444F-85B8-A05608274DB5}" name="%Desp." dataDxfId="77" dataCellStyle="Porcentagem">
      <calculatedColumnFormula>Tabela1[[#This Row],[Total Despachado]]/Tabela1[[#This Row],[Total do Pedido]]</calculatedColumnFormula>
    </tableColumn>
    <tableColumn id="7" xr3:uid="{77EC70EC-E423-42E5-A4CA-1FD01924C7D5}" name="Data" dataDxfId="76"/>
    <tableColumn id="8" xr3:uid="{CBD8C9AD-B0ED-4080-A29D-7026F548AB23}" name="Data Liberação" dataDxfId="75"/>
    <tableColumn id="11" xr3:uid="{CA2B07BC-6B2E-49DC-A2AA-5AA6F4330538}" name="Data Entrega Anterior" dataDxfId="74"/>
    <tableColumn id="12" xr3:uid="{CA39A45F-E0D7-4FB1-B3A3-7612199DAF96}" name="Dt. Últ. Fornecedor" dataDxfId="73"/>
    <tableColumn id="13" xr3:uid="{727A0B30-EBE0-424D-A6D0-AE7273E54AD5}" name="Dt. Previsão Fornecedor" dataDxfId="72"/>
    <tableColumn id="14" xr3:uid="{81D043F9-F58F-40F2-8957-63030C86DE35}" name="Vendedor" dataDxfId="71"/>
    <tableColumn id="15" xr3:uid="{D915B324-29AA-4B6B-A3D2-7574DD50F779}" name="Operador" dataDxfId="70"/>
    <tableColumn id="16" xr3:uid="{665B60F2-BF88-4023-B2B6-4B05CBB55DE0}" name="Op. Fiscal" dataDxfId="69"/>
    <tableColumn id="17" xr3:uid="{5DE6A57E-87BF-4AD4-A9A2-6165775361A9}" name="Tipo de Pedido" dataDxfId="68"/>
    <tableColumn id="20" xr3:uid="{A5771599-A39A-48F4-BD34-668D4989C733}" name="Entrega Pedido" dataDxfId="67"/>
    <tableColumn id="21" xr3:uid="{D9841DFA-3D8E-4EC5-9E9B-460979E4A909}" name="Status da Compra" dataDxfId="66"/>
    <tableColumn id="22" xr3:uid="{EF8D9B76-5810-416B-906C-C0C8B32521F4}" name="Status Venda" dataDxfId="65"/>
    <tableColumn id="24" xr3:uid="{652FDD6A-F4F4-466F-B454-102C6C216D6F}" name="Total Solicitado" dataDxfId="64" dataCellStyle="Moeda"/>
    <tableColumn id="26" xr3:uid="{142E4A03-4828-41F3-A6B8-64C1355E8840}" name="Saldo Pedido" dataDxfId="63" dataCellStyle="Moeda"/>
    <tableColumn id="27" xr3:uid="{C652CF69-2721-4885-A462-51BD0865DF13}" name="Solic. Compra" dataDxfId="62" dataCellStyle="Moeda"/>
    <tableColumn id="28" xr3:uid="{795CE1BA-3196-4A0B-BE8E-A9564755B61F}" name="Comprado" dataDxfId="61" dataCellStyle="Moeda"/>
    <tableColumn id="30" xr3:uid="{95F22465-6EC3-4BE7-A234-B8029E72B04E}" name="Saldo Solic. Compra" dataDxfId="60" dataCellStyle="Moeda"/>
    <tableColumn id="31" xr3:uid="{60AC9CB5-65C9-4B57-AFC8-152EF6B1EA2E}" name="Total em Romaneio" dataDxfId="59" dataCellStyle="Moeda"/>
    <tableColumn id="32" xr3:uid="{C39B4AFA-DE1C-4A99-892D-93E0B4B898A6}" name="Total Faturado" dataDxfId="58" dataCellStyle="Moeda"/>
    <tableColumn id="34" xr3:uid="{7536A4FE-C4B7-494D-9348-EE8A07627C51}" name="Saldo a Faturar" dataDxfId="57" dataCellStyle="Moeda"/>
    <tableColumn id="35" xr3:uid="{1FC6CBDD-3A29-4B4F-9765-538F9BE27EBC}" name="Total Despachado" dataDxfId="56" dataCellStyle="Moeda"/>
    <tableColumn id="37" xr3:uid="{76318886-B0CA-474E-A824-603492111BAD}" name="Saldo Despacho" dataDxfId="55" dataCellStyle="Moeda"/>
    <tableColumn id="38" xr3:uid="{E55A9F58-A63C-48AF-84BE-5E08B8CE9840}" name="Cont" dataDxfId="5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DC6C-A4F5-4735-A0BF-CBADD6D3EF31}">
  <dimension ref="B1:G274"/>
  <sheetViews>
    <sheetView showGridLines="0" workbookViewId="0">
      <selection sqref="A1:XFD1048576"/>
    </sheetView>
  </sheetViews>
  <sheetFormatPr defaultColWidth="9" defaultRowHeight="14.4" x14ac:dyDescent="0.3"/>
  <cols>
    <col min="1" max="1" width="2.6640625" style="31" customWidth="1"/>
    <col min="2" max="2" width="21.33203125" style="31" bestFit="1" customWidth="1"/>
    <col min="3" max="3" width="57.6640625" style="31" bestFit="1" customWidth="1"/>
    <col min="4" max="4" width="25.44140625" style="31" bestFit="1" customWidth="1"/>
    <col min="5" max="6" width="9" style="31"/>
    <col min="7" max="7" width="27.88671875" style="31" bestFit="1" customWidth="1"/>
    <col min="8" max="16384" width="9" style="31"/>
  </cols>
  <sheetData>
    <row r="1" spans="2:7" x14ac:dyDescent="0.3">
      <c r="B1" s="32" t="s">
        <v>10</v>
      </c>
      <c r="C1" s="31" t="s" vm="1">
        <v>127</v>
      </c>
    </row>
    <row r="2" spans="2:7" x14ac:dyDescent="0.3">
      <c r="B2" s="32" t="s">
        <v>12</v>
      </c>
      <c r="C2" s="31" t="s" vm="2">
        <v>127</v>
      </c>
    </row>
    <row r="3" spans="2:7" s="34" customFormat="1" ht="15.6" x14ac:dyDescent="0.3">
      <c r="B3" s="34">
        <f>COUNTA(B5:B70)</f>
        <v>27</v>
      </c>
      <c r="C3" s="19"/>
      <c r="D3" s="34">
        <f>GETPIVOTDATA("[Measures].[Contagem Distinta de Pedido]",$B$3)</f>
        <v>219</v>
      </c>
    </row>
    <row r="4" spans="2:7" x14ac:dyDescent="0.3">
      <c r="B4" s="32" t="s">
        <v>3</v>
      </c>
      <c r="C4" s="32" t="s">
        <v>2</v>
      </c>
      <c r="D4" s="31" t="s">
        <v>125</v>
      </c>
      <c r="G4"/>
    </row>
    <row r="5" spans="2:7" x14ac:dyDescent="0.3">
      <c r="B5" s="33" t="s">
        <v>56</v>
      </c>
      <c r="C5" s="1" t="s">
        <v>151</v>
      </c>
      <c r="D5" s="31">
        <v>1</v>
      </c>
      <c r="G5"/>
    </row>
    <row r="6" spans="2:7" x14ac:dyDescent="0.3">
      <c r="B6" s="33"/>
      <c r="C6" s="1" t="s">
        <v>144</v>
      </c>
      <c r="D6" s="31">
        <v>1</v>
      </c>
      <c r="G6"/>
    </row>
    <row r="7" spans="2:7" x14ac:dyDescent="0.3">
      <c r="B7" s="33"/>
      <c r="C7" s="1" t="s">
        <v>153</v>
      </c>
      <c r="D7" s="31">
        <v>1</v>
      </c>
      <c r="G7"/>
    </row>
    <row r="8" spans="2:7" x14ac:dyDescent="0.3">
      <c r="B8" s="33"/>
      <c r="C8" s="1" t="s">
        <v>102</v>
      </c>
      <c r="D8" s="31">
        <v>10</v>
      </c>
      <c r="G8"/>
    </row>
    <row r="9" spans="2:7" x14ac:dyDescent="0.3">
      <c r="B9" s="33"/>
      <c r="C9" s="1" t="s">
        <v>117</v>
      </c>
      <c r="D9" s="31">
        <v>6</v>
      </c>
      <c r="G9"/>
    </row>
    <row r="10" spans="2:7" x14ac:dyDescent="0.3">
      <c r="B10" s="33"/>
      <c r="C10" s="1" t="s">
        <v>156</v>
      </c>
      <c r="D10" s="31">
        <v>2</v>
      </c>
      <c r="G10"/>
    </row>
    <row r="11" spans="2:7" x14ac:dyDescent="0.3">
      <c r="B11" s="33"/>
      <c r="C11" s="1" t="s">
        <v>167</v>
      </c>
      <c r="D11" s="31">
        <v>2</v>
      </c>
      <c r="G11"/>
    </row>
    <row r="12" spans="2:7" x14ac:dyDescent="0.3">
      <c r="B12" s="33"/>
      <c r="C12" s="1" t="s">
        <v>121</v>
      </c>
      <c r="D12" s="31">
        <v>1</v>
      </c>
      <c r="G12"/>
    </row>
    <row r="13" spans="2:7" x14ac:dyDescent="0.3">
      <c r="B13" s="33"/>
      <c r="C13" s="1" t="s">
        <v>152</v>
      </c>
      <c r="D13" s="31">
        <v>1</v>
      </c>
      <c r="G13"/>
    </row>
    <row r="14" spans="2:7" x14ac:dyDescent="0.3">
      <c r="B14" s="33"/>
      <c r="C14" s="1" t="s">
        <v>89</v>
      </c>
      <c r="D14" s="31">
        <v>4</v>
      </c>
      <c r="G14"/>
    </row>
    <row r="15" spans="2:7" x14ac:dyDescent="0.3">
      <c r="B15" s="33"/>
      <c r="C15" s="1" t="s">
        <v>55</v>
      </c>
      <c r="D15" s="31">
        <v>6</v>
      </c>
      <c r="G15"/>
    </row>
    <row r="16" spans="2:7" x14ac:dyDescent="0.3">
      <c r="B16" s="33"/>
      <c r="C16" s="1" t="s">
        <v>104</v>
      </c>
      <c r="D16" s="31">
        <v>1</v>
      </c>
      <c r="G16"/>
    </row>
    <row r="17" spans="2:7" x14ac:dyDescent="0.3">
      <c r="B17" s="33"/>
      <c r="C17" s="1" t="s">
        <v>145</v>
      </c>
      <c r="D17" s="31">
        <v>1</v>
      </c>
      <c r="G17"/>
    </row>
    <row r="18" spans="2:7" x14ac:dyDescent="0.3">
      <c r="B18" s="33"/>
      <c r="C18" s="1" t="s">
        <v>90</v>
      </c>
      <c r="D18" s="31">
        <v>8</v>
      </c>
      <c r="G18"/>
    </row>
    <row r="19" spans="2:7" x14ac:dyDescent="0.3">
      <c r="B19" s="33" t="s">
        <v>54</v>
      </c>
      <c r="C19" s="1" t="s">
        <v>53</v>
      </c>
      <c r="D19" s="31">
        <v>43</v>
      </c>
      <c r="G19"/>
    </row>
    <row r="20" spans="2:7" x14ac:dyDescent="0.3">
      <c r="B20" s="33" t="s">
        <v>60</v>
      </c>
      <c r="C20" s="1" t="s">
        <v>59</v>
      </c>
      <c r="D20" s="31">
        <v>24</v>
      </c>
      <c r="G20"/>
    </row>
    <row r="21" spans="2:7" x14ac:dyDescent="0.3">
      <c r="B21" s="33" t="s">
        <v>65</v>
      </c>
      <c r="C21" s="1" t="s">
        <v>64</v>
      </c>
      <c r="D21" s="31">
        <v>18</v>
      </c>
      <c r="G21"/>
    </row>
    <row r="22" spans="2:7" x14ac:dyDescent="0.3">
      <c r="B22" s="33" t="s">
        <v>136</v>
      </c>
      <c r="C22" s="1" t="s">
        <v>135</v>
      </c>
      <c r="D22" s="31">
        <v>14</v>
      </c>
      <c r="G22"/>
    </row>
    <row r="23" spans="2:7" x14ac:dyDescent="0.3">
      <c r="B23" s="33" t="s">
        <v>93</v>
      </c>
      <c r="C23" s="1" t="s">
        <v>92</v>
      </c>
      <c r="D23" s="31">
        <v>9</v>
      </c>
      <c r="G23"/>
    </row>
    <row r="24" spans="2:7" x14ac:dyDescent="0.3">
      <c r="B24" s="33" t="s">
        <v>69</v>
      </c>
      <c r="C24" s="1" t="s">
        <v>68</v>
      </c>
      <c r="D24" s="31">
        <v>5</v>
      </c>
      <c r="G24"/>
    </row>
    <row r="25" spans="2:7" x14ac:dyDescent="0.3">
      <c r="B25" s="33"/>
      <c r="C25" s="1" t="s">
        <v>126</v>
      </c>
      <c r="D25" s="31">
        <v>3</v>
      </c>
      <c r="G25"/>
    </row>
    <row r="26" spans="2:7" x14ac:dyDescent="0.3">
      <c r="B26" s="33" t="s">
        <v>75</v>
      </c>
      <c r="C26" s="1" t="s">
        <v>74</v>
      </c>
      <c r="D26" s="31">
        <v>7</v>
      </c>
      <c r="G26"/>
    </row>
    <row r="27" spans="2:7" x14ac:dyDescent="0.3">
      <c r="B27" s="33" t="s">
        <v>112</v>
      </c>
      <c r="C27" s="1" t="s">
        <v>111</v>
      </c>
      <c r="D27" s="31">
        <v>7</v>
      </c>
      <c r="G27"/>
    </row>
    <row r="28" spans="2:7" x14ac:dyDescent="0.3">
      <c r="B28" s="33" t="s">
        <v>160</v>
      </c>
      <c r="C28" s="1" t="s">
        <v>158</v>
      </c>
      <c r="D28" s="31">
        <v>5</v>
      </c>
      <c r="G28"/>
    </row>
    <row r="29" spans="2:7" x14ac:dyDescent="0.3">
      <c r="B29" s="33" t="s">
        <v>140</v>
      </c>
      <c r="C29" s="1" t="s">
        <v>142</v>
      </c>
      <c r="D29" s="31">
        <v>5</v>
      </c>
      <c r="G29"/>
    </row>
    <row r="30" spans="2:7" x14ac:dyDescent="0.3">
      <c r="B30" s="33" t="s">
        <v>139</v>
      </c>
      <c r="C30" s="1" t="s">
        <v>138</v>
      </c>
      <c r="D30" s="31">
        <v>5</v>
      </c>
      <c r="G30"/>
    </row>
    <row r="31" spans="2:7" x14ac:dyDescent="0.3">
      <c r="B31" s="33" t="s">
        <v>47</v>
      </c>
      <c r="C31" s="1" t="s">
        <v>46</v>
      </c>
      <c r="D31" s="31">
        <v>4</v>
      </c>
      <c r="G31"/>
    </row>
    <row r="32" spans="2:7" x14ac:dyDescent="0.3">
      <c r="B32" s="33" t="s">
        <v>99</v>
      </c>
      <c r="C32" s="1" t="s">
        <v>147</v>
      </c>
      <c r="D32" s="31">
        <v>1</v>
      </c>
      <c r="G32"/>
    </row>
    <row r="33" spans="2:7" x14ac:dyDescent="0.3">
      <c r="B33" s="33"/>
      <c r="C33" s="1" t="s">
        <v>101</v>
      </c>
      <c r="D33" s="31">
        <v>3</v>
      </c>
      <c r="G33"/>
    </row>
    <row r="34" spans="2:7" x14ac:dyDescent="0.3">
      <c r="B34" s="33" t="s">
        <v>73</v>
      </c>
      <c r="C34" s="1" t="s">
        <v>72</v>
      </c>
      <c r="D34" s="31">
        <v>3</v>
      </c>
      <c r="G34"/>
    </row>
    <row r="35" spans="2:7" x14ac:dyDescent="0.3">
      <c r="B35" s="33" t="s">
        <v>81</v>
      </c>
      <c r="C35" s="1" t="s">
        <v>80</v>
      </c>
      <c r="D35" s="31">
        <v>3</v>
      </c>
      <c r="G35"/>
    </row>
    <row r="36" spans="2:7" x14ac:dyDescent="0.3">
      <c r="B36" s="33" t="s">
        <v>129</v>
      </c>
      <c r="C36" s="1" t="s">
        <v>128</v>
      </c>
      <c r="D36" s="31">
        <v>2</v>
      </c>
      <c r="G36"/>
    </row>
    <row r="37" spans="2:7" x14ac:dyDescent="0.3">
      <c r="B37" s="33" t="s">
        <v>131</v>
      </c>
      <c r="C37" s="1" t="s">
        <v>130</v>
      </c>
      <c r="D37" s="31">
        <v>2</v>
      </c>
      <c r="G37"/>
    </row>
    <row r="38" spans="2:7" x14ac:dyDescent="0.3">
      <c r="B38" s="33" t="s">
        <v>161</v>
      </c>
      <c r="C38" s="1" t="s">
        <v>159</v>
      </c>
      <c r="D38" s="31">
        <v>2</v>
      </c>
      <c r="G38"/>
    </row>
    <row r="39" spans="2:7" x14ac:dyDescent="0.3">
      <c r="B39" s="33" t="s">
        <v>113</v>
      </c>
      <c r="C39" s="1" t="s">
        <v>116</v>
      </c>
      <c r="D39" s="31">
        <v>2</v>
      </c>
      <c r="G39"/>
    </row>
    <row r="40" spans="2:7" x14ac:dyDescent="0.3">
      <c r="B40" s="33" t="s">
        <v>84</v>
      </c>
      <c r="C40" s="1" t="s">
        <v>83</v>
      </c>
      <c r="D40" s="31">
        <v>2</v>
      </c>
      <c r="G40"/>
    </row>
    <row r="41" spans="2:7" x14ac:dyDescent="0.3">
      <c r="B41" s="33" t="s">
        <v>97</v>
      </c>
      <c r="C41" s="1" t="s">
        <v>96</v>
      </c>
      <c r="D41" s="31">
        <v>1</v>
      </c>
      <c r="G41"/>
    </row>
    <row r="42" spans="2:7" x14ac:dyDescent="0.3">
      <c r="B42" s="33" t="s">
        <v>123</v>
      </c>
      <c r="C42" s="1" t="s">
        <v>122</v>
      </c>
      <c r="D42" s="31">
        <v>1</v>
      </c>
      <c r="G42"/>
    </row>
    <row r="43" spans="2:7" x14ac:dyDescent="0.3">
      <c r="B43" s="33" t="s">
        <v>169</v>
      </c>
      <c r="C43" s="1" t="s">
        <v>166</v>
      </c>
      <c r="D43" s="31">
        <v>1</v>
      </c>
      <c r="G43"/>
    </row>
    <row r="44" spans="2:7" x14ac:dyDescent="0.3">
      <c r="B44" s="33" t="s">
        <v>149</v>
      </c>
      <c r="C44" s="1" t="s">
        <v>148</v>
      </c>
      <c r="D44" s="31">
        <v>1</v>
      </c>
      <c r="G44"/>
    </row>
    <row r="45" spans="2:7" x14ac:dyDescent="0.3">
      <c r="B45" s="33" t="s">
        <v>168</v>
      </c>
      <c r="C45" s="1" t="s">
        <v>165</v>
      </c>
      <c r="D45" s="31">
        <v>1</v>
      </c>
      <c r="G45"/>
    </row>
    <row r="46" spans="2:7" x14ac:dyDescent="0.3">
      <c r="B46" s="31" t="s">
        <v>124</v>
      </c>
      <c r="D46" s="31">
        <v>219</v>
      </c>
      <c r="G46"/>
    </row>
    <row r="47" spans="2:7" x14ac:dyDescent="0.3">
      <c r="B47"/>
      <c r="C47"/>
      <c r="D47"/>
      <c r="G47"/>
    </row>
    <row r="48" spans="2:7" x14ac:dyDescent="0.3">
      <c r="B48"/>
      <c r="C48"/>
      <c r="D48"/>
      <c r="G48"/>
    </row>
    <row r="49" spans="2:7" x14ac:dyDescent="0.3">
      <c r="B49"/>
      <c r="C49"/>
      <c r="D49"/>
      <c r="G49"/>
    </row>
    <row r="50" spans="2:7" x14ac:dyDescent="0.3">
      <c r="B50"/>
      <c r="C50"/>
      <c r="D50"/>
      <c r="G50"/>
    </row>
    <row r="51" spans="2:7" x14ac:dyDescent="0.3">
      <c r="B51"/>
      <c r="C51"/>
      <c r="D51"/>
      <c r="G51"/>
    </row>
    <row r="52" spans="2:7" x14ac:dyDescent="0.3">
      <c r="B52"/>
      <c r="C52"/>
      <c r="D52"/>
      <c r="G52"/>
    </row>
    <row r="53" spans="2:7" x14ac:dyDescent="0.3">
      <c r="B53"/>
      <c r="C53"/>
      <c r="D53"/>
      <c r="G53"/>
    </row>
    <row r="54" spans="2:7" x14ac:dyDescent="0.3">
      <c r="B54"/>
      <c r="C54"/>
      <c r="D54"/>
      <c r="G54"/>
    </row>
    <row r="55" spans="2:7" x14ac:dyDescent="0.3">
      <c r="B55"/>
      <c r="C55"/>
      <c r="D55"/>
      <c r="G55"/>
    </row>
    <row r="56" spans="2:7" x14ac:dyDescent="0.3">
      <c r="B56"/>
      <c r="C56"/>
      <c r="D56"/>
      <c r="G56"/>
    </row>
    <row r="57" spans="2:7" x14ac:dyDescent="0.3">
      <c r="B57"/>
      <c r="C57"/>
      <c r="D57"/>
      <c r="G57"/>
    </row>
    <row r="58" spans="2:7" x14ac:dyDescent="0.3">
      <c r="B58"/>
      <c r="C58"/>
      <c r="D58"/>
      <c r="G58"/>
    </row>
    <row r="59" spans="2:7" x14ac:dyDescent="0.3">
      <c r="B59"/>
      <c r="C59"/>
      <c r="D59"/>
      <c r="G59"/>
    </row>
    <row r="60" spans="2:7" x14ac:dyDescent="0.3">
      <c r="B60"/>
      <c r="C60"/>
      <c r="D60"/>
      <c r="G60"/>
    </row>
    <row r="61" spans="2:7" x14ac:dyDescent="0.3">
      <c r="B61"/>
      <c r="C61"/>
      <c r="D61"/>
      <c r="G61"/>
    </row>
    <row r="62" spans="2:7" x14ac:dyDescent="0.3">
      <c r="B62"/>
      <c r="C62"/>
      <c r="D62"/>
      <c r="G62"/>
    </row>
    <row r="63" spans="2:7" x14ac:dyDescent="0.3">
      <c r="B63"/>
      <c r="C63"/>
      <c r="D63"/>
      <c r="G63"/>
    </row>
    <row r="64" spans="2:7" x14ac:dyDescent="0.3">
      <c r="B64"/>
      <c r="C64"/>
      <c r="D64"/>
      <c r="G64"/>
    </row>
    <row r="65" spans="2:7" x14ac:dyDescent="0.3">
      <c r="B65"/>
      <c r="C65"/>
      <c r="D65"/>
      <c r="G65"/>
    </row>
    <row r="66" spans="2:7" x14ac:dyDescent="0.3">
      <c r="B66"/>
      <c r="C66"/>
      <c r="D66"/>
      <c r="G66"/>
    </row>
    <row r="67" spans="2:7" x14ac:dyDescent="0.3">
      <c r="B67"/>
      <c r="C67"/>
      <c r="D67"/>
      <c r="G67"/>
    </row>
    <row r="68" spans="2:7" x14ac:dyDescent="0.3">
      <c r="B68"/>
      <c r="C68"/>
      <c r="D68"/>
      <c r="G68"/>
    </row>
    <row r="69" spans="2:7" x14ac:dyDescent="0.3">
      <c r="B69"/>
      <c r="C69"/>
      <c r="D69"/>
      <c r="G69"/>
    </row>
    <row r="70" spans="2:7" x14ac:dyDescent="0.3">
      <c r="B70"/>
      <c r="C70"/>
      <c r="D70"/>
      <c r="G70"/>
    </row>
    <row r="71" spans="2:7" x14ac:dyDescent="0.3">
      <c r="B71"/>
      <c r="C71"/>
      <c r="D71"/>
      <c r="G71"/>
    </row>
    <row r="72" spans="2:7" x14ac:dyDescent="0.3">
      <c r="B72"/>
      <c r="C72"/>
      <c r="D72"/>
      <c r="G72"/>
    </row>
    <row r="73" spans="2:7" x14ac:dyDescent="0.3">
      <c r="B73"/>
      <c r="C73"/>
      <c r="D73"/>
      <c r="G73"/>
    </row>
    <row r="74" spans="2:7" x14ac:dyDescent="0.3">
      <c r="B74"/>
      <c r="C74"/>
      <c r="D74"/>
      <c r="G74"/>
    </row>
    <row r="75" spans="2:7" x14ac:dyDescent="0.3">
      <c r="B75"/>
      <c r="C75"/>
      <c r="D75"/>
      <c r="G75"/>
    </row>
    <row r="76" spans="2:7" x14ac:dyDescent="0.3">
      <c r="B76"/>
      <c r="C76"/>
      <c r="D76"/>
      <c r="G76"/>
    </row>
    <row r="77" spans="2:7" x14ac:dyDescent="0.3">
      <c r="B77"/>
      <c r="C77"/>
      <c r="D77"/>
      <c r="G77"/>
    </row>
    <row r="78" spans="2:7" x14ac:dyDescent="0.3">
      <c r="B78"/>
      <c r="C78"/>
      <c r="D78"/>
      <c r="G78"/>
    </row>
    <row r="79" spans="2:7" x14ac:dyDescent="0.3">
      <c r="B79"/>
      <c r="C79"/>
      <c r="D79"/>
      <c r="G79"/>
    </row>
    <row r="80" spans="2:7" x14ac:dyDescent="0.3">
      <c r="B80"/>
      <c r="C80"/>
      <c r="D80"/>
      <c r="G80"/>
    </row>
    <row r="81" spans="7:7" x14ac:dyDescent="0.3">
      <c r="G81"/>
    </row>
    <row r="82" spans="7:7" x14ac:dyDescent="0.3">
      <c r="G82"/>
    </row>
    <row r="83" spans="7:7" x14ac:dyDescent="0.3">
      <c r="G83"/>
    </row>
    <row r="84" spans="7:7" x14ac:dyDescent="0.3">
      <c r="G84"/>
    </row>
    <row r="85" spans="7:7" x14ac:dyDescent="0.3">
      <c r="G85"/>
    </row>
    <row r="86" spans="7:7" x14ac:dyDescent="0.3">
      <c r="G86"/>
    </row>
    <row r="87" spans="7:7" x14ac:dyDescent="0.3">
      <c r="G87"/>
    </row>
    <row r="88" spans="7:7" x14ac:dyDescent="0.3">
      <c r="G88"/>
    </row>
    <row r="89" spans="7:7" x14ac:dyDescent="0.3">
      <c r="G89"/>
    </row>
    <row r="90" spans="7:7" x14ac:dyDescent="0.3">
      <c r="G90"/>
    </row>
    <row r="91" spans="7:7" x14ac:dyDescent="0.3">
      <c r="G91"/>
    </row>
    <row r="92" spans="7:7" x14ac:dyDescent="0.3">
      <c r="G92"/>
    </row>
    <row r="93" spans="7:7" x14ac:dyDescent="0.3">
      <c r="G93"/>
    </row>
    <row r="94" spans="7:7" x14ac:dyDescent="0.3">
      <c r="G94"/>
    </row>
    <row r="95" spans="7:7" x14ac:dyDescent="0.3">
      <c r="G95"/>
    </row>
    <row r="96" spans="7:7" x14ac:dyDescent="0.3">
      <c r="G96"/>
    </row>
    <row r="97" spans="7:7" x14ac:dyDescent="0.3">
      <c r="G97"/>
    </row>
    <row r="98" spans="7:7" x14ac:dyDescent="0.3">
      <c r="G98"/>
    </row>
    <row r="99" spans="7:7" x14ac:dyDescent="0.3">
      <c r="G99"/>
    </row>
    <row r="100" spans="7:7" x14ac:dyDescent="0.3">
      <c r="G100"/>
    </row>
    <row r="101" spans="7:7" x14ac:dyDescent="0.3">
      <c r="G101"/>
    </row>
    <row r="102" spans="7:7" x14ac:dyDescent="0.3">
      <c r="G102"/>
    </row>
    <row r="103" spans="7:7" x14ac:dyDescent="0.3">
      <c r="G103"/>
    </row>
    <row r="104" spans="7:7" x14ac:dyDescent="0.3">
      <c r="G104"/>
    </row>
    <row r="105" spans="7:7" x14ac:dyDescent="0.3">
      <c r="G105"/>
    </row>
    <row r="106" spans="7:7" x14ac:dyDescent="0.3">
      <c r="G106"/>
    </row>
    <row r="107" spans="7:7" x14ac:dyDescent="0.3">
      <c r="G107"/>
    </row>
    <row r="108" spans="7:7" x14ac:dyDescent="0.3">
      <c r="G108"/>
    </row>
    <row r="109" spans="7:7" x14ac:dyDescent="0.3">
      <c r="G109"/>
    </row>
    <row r="110" spans="7:7" x14ac:dyDescent="0.3">
      <c r="G110"/>
    </row>
    <row r="111" spans="7:7" x14ac:dyDescent="0.3">
      <c r="G111"/>
    </row>
    <row r="112" spans="7:7" x14ac:dyDescent="0.3">
      <c r="G112"/>
    </row>
    <row r="113" spans="7:7" x14ac:dyDescent="0.3">
      <c r="G113"/>
    </row>
    <row r="114" spans="7:7" x14ac:dyDescent="0.3">
      <c r="G114"/>
    </row>
    <row r="115" spans="7:7" x14ac:dyDescent="0.3">
      <c r="G115"/>
    </row>
    <row r="116" spans="7:7" x14ac:dyDescent="0.3">
      <c r="G116"/>
    </row>
    <row r="117" spans="7:7" x14ac:dyDescent="0.3">
      <c r="G117"/>
    </row>
    <row r="118" spans="7:7" x14ac:dyDescent="0.3">
      <c r="G118"/>
    </row>
    <row r="119" spans="7:7" x14ac:dyDescent="0.3">
      <c r="G119"/>
    </row>
    <row r="120" spans="7:7" x14ac:dyDescent="0.3">
      <c r="G120"/>
    </row>
    <row r="121" spans="7:7" x14ac:dyDescent="0.3">
      <c r="G121"/>
    </row>
    <row r="122" spans="7:7" x14ac:dyDescent="0.3">
      <c r="G122"/>
    </row>
    <row r="123" spans="7:7" x14ac:dyDescent="0.3">
      <c r="G123"/>
    </row>
    <row r="124" spans="7:7" x14ac:dyDescent="0.3">
      <c r="G124"/>
    </row>
    <row r="125" spans="7:7" x14ac:dyDescent="0.3">
      <c r="G125"/>
    </row>
    <row r="126" spans="7:7" x14ac:dyDescent="0.3">
      <c r="G126"/>
    </row>
    <row r="127" spans="7:7" x14ac:dyDescent="0.3">
      <c r="G127"/>
    </row>
    <row r="128" spans="7:7" x14ac:dyDescent="0.3">
      <c r="G128"/>
    </row>
    <row r="129" spans="7:7" x14ac:dyDescent="0.3">
      <c r="G129"/>
    </row>
    <row r="130" spans="7:7" x14ac:dyDescent="0.3">
      <c r="G130"/>
    </row>
    <row r="131" spans="7:7" x14ac:dyDescent="0.3">
      <c r="G131"/>
    </row>
    <row r="132" spans="7:7" x14ac:dyDescent="0.3">
      <c r="G132"/>
    </row>
    <row r="133" spans="7:7" x14ac:dyDescent="0.3">
      <c r="G133"/>
    </row>
    <row r="134" spans="7:7" x14ac:dyDescent="0.3">
      <c r="G134"/>
    </row>
    <row r="135" spans="7:7" x14ac:dyDescent="0.3">
      <c r="G135"/>
    </row>
    <row r="136" spans="7:7" x14ac:dyDescent="0.3">
      <c r="G136"/>
    </row>
    <row r="137" spans="7:7" x14ac:dyDescent="0.3">
      <c r="G137"/>
    </row>
    <row r="138" spans="7:7" x14ac:dyDescent="0.3">
      <c r="G138"/>
    </row>
    <row r="139" spans="7:7" x14ac:dyDescent="0.3">
      <c r="G139"/>
    </row>
    <row r="140" spans="7:7" x14ac:dyDescent="0.3">
      <c r="G140"/>
    </row>
    <row r="141" spans="7:7" x14ac:dyDescent="0.3">
      <c r="G141"/>
    </row>
    <row r="142" spans="7:7" x14ac:dyDescent="0.3">
      <c r="G142"/>
    </row>
    <row r="143" spans="7:7" x14ac:dyDescent="0.3">
      <c r="G143"/>
    </row>
    <row r="144" spans="7:7" x14ac:dyDescent="0.3">
      <c r="G144"/>
    </row>
    <row r="145" spans="7:7" x14ac:dyDescent="0.3">
      <c r="G145"/>
    </row>
    <row r="146" spans="7:7" x14ac:dyDescent="0.3">
      <c r="G146"/>
    </row>
    <row r="147" spans="7:7" x14ac:dyDescent="0.3">
      <c r="G147"/>
    </row>
    <row r="148" spans="7:7" x14ac:dyDescent="0.3">
      <c r="G148"/>
    </row>
    <row r="149" spans="7:7" x14ac:dyDescent="0.3">
      <c r="G149"/>
    </row>
    <row r="150" spans="7:7" x14ac:dyDescent="0.3">
      <c r="G150"/>
    </row>
    <row r="151" spans="7:7" x14ac:dyDescent="0.3">
      <c r="G151"/>
    </row>
    <row r="152" spans="7:7" x14ac:dyDescent="0.3">
      <c r="G152"/>
    </row>
    <row r="153" spans="7:7" x14ac:dyDescent="0.3">
      <c r="G153"/>
    </row>
    <row r="154" spans="7:7" x14ac:dyDescent="0.3">
      <c r="G154"/>
    </row>
    <row r="155" spans="7:7" x14ac:dyDescent="0.3">
      <c r="G155"/>
    </row>
    <row r="156" spans="7:7" x14ac:dyDescent="0.3">
      <c r="G156"/>
    </row>
    <row r="157" spans="7:7" x14ac:dyDescent="0.3">
      <c r="G157"/>
    </row>
    <row r="158" spans="7:7" x14ac:dyDescent="0.3">
      <c r="G158"/>
    </row>
    <row r="159" spans="7:7" x14ac:dyDescent="0.3">
      <c r="G159"/>
    </row>
    <row r="160" spans="7:7" x14ac:dyDescent="0.3">
      <c r="G160"/>
    </row>
    <row r="161" spans="7:7" x14ac:dyDescent="0.3">
      <c r="G161"/>
    </row>
    <row r="162" spans="7:7" x14ac:dyDescent="0.3">
      <c r="G162"/>
    </row>
    <row r="163" spans="7:7" x14ac:dyDescent="0.3">
      <c r="G163"/>
    </row>
    <row r="164" spans="7:7" x14ac:dyDescent="0.3">
      <c r="G164"/>
    </row>
    <row r="165" spans="7:7" x14ac:dyDescent="0.3">
      <c r="G165"/>
    </row>
    <row r="166" spans="7:7" x14ac:dyDescent="0.3">
      <c r="G166"/>
    </row>
    <row r="167" spans="7:7" x14ac:dyDescent="0.3">
      <c r="G167"/>
    </row>
    <row r="168" spans="7:7" x14ac:dyDescent="0.3">
      <c r="G168"/>
    </row>
    <row r="169" spans="7:7" x14ac:dyDescent="0.3">
      <c r="G169"/>
    </row>
    <row r="170" spans="7:7" x14ac:dyDescent="0.3">
      <c r="G170"/>
    </row>
    <row r="171" spans="7:7" x14ac:dyDescent="0.3">
      <c r="G171"/>
    </row>
    <row r="172" spans="7:7" x14ac:dyDescent="0.3">
      <c r="G172"/>
    </row>
    <row r="173" spans="7:7" x14ac:dyDescent="0.3">
      <c r="G173"/>
    </row>
    <row r="174" spans="7:7" x14ac:dyDescent="0.3">
      <c r="G174"/>
    </row>
    <row r="175" spans="7:7" x14ac:dyDescent="0.3">
      <c r="G175"/>
    </row>
    <row r="176" spans="7:7" x14ac:dyDescent="0.3">
      <c r="G176"/>
    </row>
    <row r="177" spans="7:7" x14ac:dyDescent="0.3">
      <c r="G177"/>
    </row>
    <row r="178" spans="7:7" x14ac:dyDescent="0.3">
      <c r="G178"/>
    </row>
    <row r="179" spans="7:7" x14ac:dyDescent="0.3">
      <c r="G179"/>
    </row>
    <row r="180" spans="7:7" x14ac:dyDescent="0.3">
      <c r="G180"/>
    </row>
    <row r="181" spans="7:7" x14ac:dyDescent="0.3">
      <c r="G181"/>
    </row>
    <row r="182" spans="7:7" x14ac:dyDescent="0.3">
      <c r="G182"/>
    </row>
    <row r="183" spans="7:7" x14ac:dyDescent="0.3">
      <c r="G183"/>
    </row>
    <row r="184" spans="7:7" x14ac:dyDescent="0.3">
      <c r="G184"/>
    </row>
    <row r="185" spans="7:7" x14ac:dyDescent="0.3">
      <c r="G185"/>
    </row>
    <row r="186" spans="7:7" x14ac:dyDescent="0.3">
      <c r="G186"/>
    </row>
    <row r="187" spans="7:7" x14ac:dyDescent="0.3">
      <c r="G187"/>
    </row>
    <row r="188" spans="7:7" x14ac:dyDescent="0.3">
      <c r="G188"/>
    </row>
    <row r="189" spans="7:7" x14ac:dyDescent="0.3">
      <c r="G189"/>
    </row>
    <row r="190" spans="7:7" x14ac:dyDescent="0.3">
      <c r="G190"/>
    </row>
    <row r="191" spans="7:7" x14ac:dyDescent="0.3">
      <c r="G191"/>
    </row>
    <row r="192" spans="7:7" x14ac:dyDescent="0.3">
      <c r="G192"/>
    </row>
    <row r="193" spans="7:7" x14ac:dyDescent="0.3">
      <c r="G193"/>
    </row>
    <row r="194" spans="7:7" x14ac:dyDescent="0.3">
      <c r="G194"/>
    </row>
    <row r="195" spans="7:7" x14ac:dyDescent="0.3">
      <c r="G195"/>
    </row>
    <row r="196" spans="7:7" x14ac:dyDescent="0.3">
      <c r="G196"/>
    </row>
    <row r="197" spans="7:7" x14ac:dyDescent="0.3">
      <c r="G197"/>
    </row>
    <row r="198" spans="7:7" x14ac:dyDescent="0.3">
      <c r="G198"/>
    </row>
    <row r="199" spans="7:7" x14ac:dyDescent="0.3">
      <c r="G199"/>
    </row>
    <row r="200" spans="7:7" x14ac:dyDescent="0.3">
      <c r="G200"/>
    </row>
    <row r="201" spans="7:7" x14ac:dyDescent="0.3">
      <c r="G201"/>
    </row>
    <row r="202" spans="7:7" x14ac:dyDescent="0.3">
      <c r="G202"/>
    </row>
    <row r="203" spans="7:7" x14ac:dyDescent="0.3">
      <c r="G203"/>
    </row>
    <row r="204" spans="7:7" x14ac:dyDescent="0.3">
      <c r="G204"/>
    </row>
    <row r="205" spans="7:7" x14ac:dyDescent="0.3">
      <c r="G205"/>
    </row>
    <row r="206" spans="7:7" x14ac:dyDescent="0.3">
      <c r="G206"/>
    </row>
    <row r="207" spans="7:7" x14ac:dyDescent="0.3">
      <c r="G207"/>
    </row>
    <row r="208" spans="7:7" x14ac:dyDescent="0.3">
      <c r="G208"/>
    </row>
    <row r="209" spans="7:7" x14ac:dyDescent="0.3">
      <c r="G209"/>
    </row>
    <row r="210" spans="7:7" x14ac:dyDescent="0.3">
      <c r="G210"/>
    </row>
    <row r="211" spans="7:7" x14ac:dyDescent="0.3">
      <c r="G211"/>
    </row>
    <row r="212" spans="7:7" x14ac:dyDescent="0.3">
      <c r="G212"/>
    </row>
    <row r="213" spans="7:7" x14ac:dyDescent="0.3">
      <c r="G213"/>
    </row>
    <row r="214" spans="7:7" x14ac:dyDescent="0.3">
      <c r="G214"/>
    </row>
    <row r="215" spans="7:7" x14ac:dyDescent="0.3">
      <c r="G215"/>
    </row>
    <row r="216" spans="7:7" x14ac:dyDescent="0.3">
      <c r="G216"/>
    </row>
    <row r="217" spans="7:7" x14ac:dyDescent="0.3">
      <c r="G217"/>
    </row>
    <row r="218" spans="7:7" x14ac:dyDescent="0.3">
      <c r="G218"/>
    </row>
    <row r="219" spans="7:7" x14ac:dyDescent="0.3">
      <c r="G219"/>
    </row>
    <row r="220" spans="7:7" x14ac:dyDescent="0.3">
      <c r="G220"/>
    </row>
    <row r="221" spans="7:7" x14ac:dyDescent="0.3">
      <c r="G221"/>
    </row>
    <row r="222" spans="7:7" x14ac:dyDescent="0.3">
      <c r="G222"/>
    </row>
    <row r="223" spans="7:7" x14ac:dyDescent="0.3">
      <c r="G223"/>
    </row>
    <row r="224" spans="7:7" x14ac:dyDescent="0.3">
      <c r="G224"/>
    </row>
    <row r="225" spans="7:7" x14ac:dyDescent="0.3">
      <c r="G225"/>
    </row>
    <row r="226" spans="7:7" x14ac:dyDescent="0.3">
      <c r="G226"/>
    </row>
    <row r="227" spans="7:7" x14ac:dyDescent="0.3">
      <c r="G227"/>
    </row>
    <row r="228" spans="7:7" x14ac:dyDescent="0.3">
      <c r="G228"/>
    </row>
    <row r="229" spans="7:7" x14ac:dyDescent="0.3">
      <c r="G229"/>
    </row>
    <row r="230" spans="7:7" x14ac:dyDescent="0.3">
      <c r="G230"/>
    </row>
    <row r="231" spans="7:7" x14ac:dyDescent="0.3">
      <c r="G231"/>
    </row>
    <row r="232" spans="7:7" x14ac:dyDescent="0.3">
      <c r="G232"/>
    </row>
    <row r="233" spans="7:7" x14ac:dyDescent="0.3">
      <c r="G233"/>
    </row>
    <row r="234" spans="7:7" x14ac:dyDescent="0.3">
      <c r="G234"/>
    </row>
    <row r="235" spans="7:7" x14ac:dyDescent="0.3">
      <c r="G235"/>
    </row>
    <row r="236" spans="7:7" x14ac:dyDescent="0.3">
      <c r="G236"/>
    </row>
    <row r="237" spans="7:7" x14ac:dyDescent="0.3">
      <c r="G237"/>
    </row>
    <row r="238" spans="7:7" x14ac:dyDescent="0.3">
      <c r="G238"/>
    </row>
    <row r="239" spans="7:7" x14ac:dyDescent="0.3">
      <c r="G239"/>
    </row>
    <row r="240" spans="7:7" x14ac:dyDescent="0.3">
      <c r="G240"/>
    </row>
    <row r="241" spans="7:7" x14ac:dyDescent="0.3">
      <c r="G241"/>
    </row>
    <row r="242" spans="7:7" x14ac:dyDescent="0.3">
      <c r="G242"/>
    </row>
    <row r="243" spans="7:7" x14ac:dyDescent="0.3">
      <c r="G243"/>
    </row>
    <row r="244" spans="7:7" x14ac:dyDescent="0.3">
      <c r="G244"/>
    </row>
    <row r="245" spans="7:7" x14ac:dyDescent="0.3">
      <c r="G245"/>
    </row>
    <row r="246" spans="7:7" x14ac:dyDescent="0.3">
      <c r="G246"/>
    </row>
    <row r="247" spans="7:7" x14ac:dyDescent="0.3">
      <c r="G247"/>
    </row>
    <row r="248" spans="7:7" x14ac:dyDescent="0.3">
      <c r="G248"/>
    </row>
    <row r="249" spans="7:7" x14ac:dyDescent="0.3">
      <c r="G249"/>
    </row>
    <row r="250" spans="7:7" x14ac:dyDescent="0.3">
      <c r="G250"/>
    </row>
    <row r="251" spans="7:7" x14ac:dyDescent="0.3">
      <c r="G251"/>
    </row>
    <row r="252" spans="7:7" x14ac:dyDescent="0.3">
      <c r="G252"/>
    </row>
    <row r="253" spans="7:7" x14ac:dyDescent="0.3">
      <c r="G253"/>
    </row>
    <row r="254" spans="7:7" x14ac:dyDescent="0.3">
      <c r="G254"/>
    </row>
    <row r="255" spans="7:7" x14ac:dyDescent="0.3">
      <c r="G255"/>
    </row>
    <row r="256" spans="7:7" x14ac:dyDescent="0.3">
      <c r="G256"/>
    </row>
    <row r="257" spans="7:7" x14ac:dyDescent="0.3">
      <c r="G257"/>
    </row>
    <row r="258" spans="7:7" x14ac:dyDescent="0.3">
      <c r="G258"/>
    </row>
    <row r="259" spans="7:7" x14ac:dyDescent="0.3">
      <c r="G259"/>
    </row>
    <row r="260" spans="7:7" x14ac:dyDescent="0.3">
      <c r="G260"/>
    </row>
    <row r="261" spans="7:7" x14ac:dyDescent="0.3">
      <c r="G261"/>
    </row>
    <row r="262" spans="7:7" x14ac:dyDescent="0.3">
      <c r="G262"/>
    </row>
    <row r="263" spans="7:7" x14ac:dyDescent="0.3">
      <c r="G263"/>
    </row>
    <row r="264" spans="7:7" x14ac:dyDescent="0.3">
      <c r="G264"/>
    </row>
    <row r="265" spans="7:7" x14ac:dyDescent="0.3">
      <c r="G265"/>
    </row>
    <row r="266" spans="7:7" x14ac:dyDescent="0.3">
      <c r="G266"/>
    </row>
    <row r="267" spans="7:7" x14ac:dyDescent="0.3">
      <c r="G267"/>
    </row>
    <row r="268" spans="7:7" x14ac:dyDescent="0.3">
      <c r="G268"/>
    </row>
    <row r="269" spans="7:7" x14ac:dyDescent="0.3">
      <c r="G269"/>
    </row>
    <row r="270" spans="7:7" x14ac:dyDescent="0.3">
      <c r="G270"/>
    </row>
    <row r="271" spans="7:7" x14ac:dyDescent="0.3">
      <c r="G271"/>
    </row>
    <row r="272" spans="7:7" x14ac:dyDescent="0.3">
      <c r="G272"/>
    </row>
    <row r="273" spans="7:7" x14ac:dyDescent="0.3">
      <c r="G273"/>
    </row>
    <row r="274" spans="7:7" x14ac:dyDescent="0.3">
      <c r="G27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AC527-6E11-4B28-AC13-B0682B93CDFF}">
  <dimension ref="A1:AL223"/>
  <sheetViews>
    <sheetView showGridLines="0" tabSelected="1" zoomScale="90" zoomScaleNormal="90" workbookViewId="0">
      <selection activeCell="H23" sqref="H23"/>
    </sheetView>
  </sheetViews>
  <sheetFormatPr defaultColWidth="37.109375" defaultRowHeight="14.4" outlineLevelCol="1" x14ac:dyDescent="0.3"/>
  <cols>
    <col min="1" max="1" width="37" bestFit="1" customWidth="1"/>
    <col min="2" max="2" width="9.6640625" bestFit="1" customWidth="1"/>
    <col min="3" max="3" width="14.5546875" bestFit="1" customWidth="1"/>
    <col min="4" max="4" width="11.109375" bestFit="1" customWidth="1"/>
    <col min="5" max="5" width="28" style="7" bestFit="1" customWidth="1"/>
    <col min="6" max="6" width="17.5546875" style="7" customWidth="1"/>
    <col min="7" max="7" width="9.5546875" style="12" bestFit="1" customWidth="1"/>
    <col min="8" max="8" width="20.33203125" style="13" bestFit="1" customWidth="1"/>
    <col min="9" max="9" width="18.6640625" style="9" bestFit="1" customWidth="1"/>
    <col min="10" max="10" width="14.6640625" style="1" bestFit="1" customWidth="1"/>
    <col min="11" max="11" width="10.5546875" style="1" bestFit="1" customWidth="1"/>
    <col min="12" max="12" width="11.6640625" style="14" bestFit="1" customWidth="1"/>
    <col min="13" max="13" width="10.109375" style="12" bestFit="1" customWidth="1"/>
    <col min="14" max="14" width="11.5546875" hidden="1" customWidth="1" outlineLevel="1"/>
    <col min="15" max="15" width="16.6640625" style="1" bestFit="1" customWidth="1" collapsed="1"/>
    <col min="16" max="16" width="22.6640625" style="15" hidden="1" customWidth="1" outlineLevel="1"/>
    <col min="17" max="17" width="20.5546875" style="10" hidden="1" customWidth="1" outlineLevel="1"/>
    <col min="18" max="18" width="25.33203125" style="10" hidden="1" customWidth="1" outlineLevel="1"/>
    <col min="19" max="19" width="16" style="1" hidden="1" customWidth="1" outlineLevel="1"/>
    <col min="20" max="20" width="28.109375" style="1" hidden="1" customWidth="1" outlineLevel="1"/>
    <col min="21" max="21" width="12" style="1" bestFit="1" customWidth="1" collapsed="1"/>
    <col min="22" max="22" width="16.6640625" style="1" bestFit="1" customWidth="1"/>
    <col min="23" max="23" width="17" style="1" bestFit="1" customWidth="1"/>
    <col min="24" max="24" width="19.33203125" style="1" hidden="1" customWidth="1" outlineLevel="1"/>
    <col min="25" max="25" width="15" style="1" bestFit="1" customWidth="1" collapsed="1"/>
    <col min="26" max="26" width="18.6640625" hidden="1" customWidth="1" outlineLevel="1"/>
    <col min="27" max="27" width="16.5546875" style="9" hidden="1" customWidth="1" outlineLevel="1"/>
    <col min="28" max="28" width="17.44140625" style="9" hidden="1" customWidth="1" outlineLevel="1"/>
    <col min="29" max="29" width="16.44140625" style="16" hidden="1" customWidth="1" outlineLevel="1"/>
    <col min="30" max="30" width="23" style="9" hidden="1" customWidth="1" outlineLevel="1"/>
    <col min="31" max="31" width="22.33203125" style="9" hidden="1" customWidth="1" outlineLevel="1"/>
    <col min="32" max="32" width="17.5546875" style="9" hidden="1" customWidth="1" outlineLevel="1"/>
    <col min="33" max="33" width="18" style="9" hidden="1" customWidth="1" outlineLevel="1"/>
    <col min="34" max="34" width="21" style="9" hidden="1" customWidth="1" outlineLevel="1"/>
    <col min="35" max="35" width="19.33203125" style="9" hidden="1" customWidth="1" outlineLevel="1"/>
    <col min="36" max="36" width="7.6640625" style="11" hidden="1" customWidth="1" outlineLevel="1"/>
    <col min="37" max="37" width="37.109375" style="1" collapsed="1"/>
    <col min="39" max="16384" width="37.109375" style="1"/>
  </cols>
  <sheetData>
    <row r="1" spans="1:38" x14ac:dyDescent="0.3">
      <c r="H1" s="36">
        <v>0</v>
      </c>
      <c r="I1" s="35">
        <f>H1/H2</f>
        <v>0</v>
      </c>
    </row>
    <row r="2" spans="1:38" s="25" customFormat="1" ht="31.2" x14ac:dyDescent="0.3">
      <c r="A2" s="19"/>
      <c r="B2" s="19"/>
      <c r="C2" s="19"/>
      <c r="D2" s="20" t="e" vm="3">
        <v>#VALUE!</v>
      </c>
      <c r="E2" s="21"/>
      <c r="F2" s="21" t="s">
        <v>119</v>
      </c>
      <c r="G2" s="22"/>
      <c r="H2" s="23">
        <f>SUBTOTAL(9,Tabela1[Total Disponível])</f>
        <v>178800.06999999998</v>
      </c>
      <c r="I2" s="23">
        <f>SUBTOTAL(9,Tabela1[Total do Pedido])</f>
        <v>316010.05</v>
      </c>
      <c r="L2" s="26"/>
      <c r="M2" s="22"/>
      <c r="N2" s="19"/>
      <c r="P2" s="27"/>
      <c r="Q2" s="28"/>
      <c r="R2" s="28"/>
      <c r="Z2" s="19"/>
      <c r="AA2" s="24"/>
      <c r="AB2" s="24"/>
      <c r="AC2" s="29"/>
      <c r="AD2" s="24"/>
      <c r="AE2" s="24"/>
      <c r="AF2" s="24"/>
      <c r="AG2" s="24"/>
      <c r="AH2" s="24"/>
      <c r="AI2" s="24"/>
      <c r="AJ2" s="30"/>
      <c r="AL2" s="19"/>
    </row>
    <row r="4" spans="1:38" x14ac:dyDescent="0.3">
      <c r="A4" s="1" t="s">
        <v>2</v>
      </c>
      <c r="B4" s="1" t="s">
        <v>0</v>
      </c>
      <c r="C4" s="1" t="s">
        <v>1</v>
      </c>
      <c r="D4" s="1" t="s">
        <v>3</v>
      </c>
      <c r="E4" s="1" t="s">
        <v>14</v>
      </c>
      <c r="F4" s="1" t="s">
        <v>15</v>
      </c>
      <c r="G4" s="17" t="s">
        <v>107</v>
      </c>
      <c r="H4" s="18" t="s">
        <v>110</v>
      </c>
      <c r="I4" s="3" t="s">
        <v>19</v>
      </c>
      <c r="J4" s="1" t="s">
        <v>6</v>
      </c>
      <c r="K4" s="4" t="s">
        <v>109</v>
      </c>
      <c r="L4" s="6" t="s">
        <v>118</v>
      </c>
      <c r="M4" s="17" t="s">
        <v>108</v>
      </c>
      <c r="N4" s="1" t="s">
        <v>4</v>
      </c>
      <c r="O4" s="1" t="s">
        <v>5</v>
      </c>
      <c r="P4" s="2" t="s">
        <v>7</v>
      </c>
      <c r="Q4" s="2" t="s">
        <v>8</v>
      </c>
      <c r="R4" s="2" t="s">
        <v>9</v>
      </c>
      <c r="S4" s="1" t="s">
        <v>10</v>
      </c>
      <c r="T4" s="1" t="s">
        <v>11</v>
      </c>
      <c r="U4" s="1" t="s">
        <v>12</v>
      </c>
      <c r="V4" s="1" t="s">
        <v>13</v>
      </c>
      <c r="W4" s="1" t="s">
        <v>16</v>
      </c>
      <c r="X4" s="1" t="s">
        <v>17</v>
      </c>
      <c r="Y4" s="1" t="s">
        <v>18</v>
      </c>
      <c r="Z4" s="3" t="s">
        <v>20</v>
      </c>
      <c r="AA4" s="3" t="s">
        <v>21</v>
      </c>
      <c r="AB4" s="3" t="s">
        <v>22</v>
      </c>
      <c r="AC4" s="3" t="s">
        <v>23</v>
      </c>
      <c r="AD4" s="3" t="s">
        <v>24</v>
      </c>
      <c r="AE4" s="3" t="s">
        <v>25</v>
      </c>
      <c r="AF4" s="3" t="s">
        <v>26</v>
      </c>
      <c r="AG4" s="3" t="s">
        <v>27</v>
      </c>
      <c r="AH4" s="3" t="s">
        <v>28</v>
      </c>
      <c r="AI4" s="3" t="s">
        <v>29</v>
      </c>
      <c r="AJ4" s="5" t="s">
        <v>30</v>
      </c>
      <c r="AL4" s="1"/>
    </row>
    <row r="5" spans="1:38" hidden="1" x14ac:dyDescent="0.3">
      <c r="A5" s="1" t="s">
        <v>158</v>
      </c>
      <c r="B5" s="1">
        <v>218274</v>
      </c>
      <c r="C5" s="1"/>
      <c r="D5" s="1" t="s">
        <v>160</v>
      </c>
      <c r="E5" s="7" t="s">
        <v>63</v>
      </c>
      <c r="F5" s="7" t="s">
        <v>41</v>
      </c>
      <c r="G5" s="8">
        <f>SUM(Tabela1[[#This Row],[Total em Romaneio]],Tabela1[[#This Row],[Saldo Despacho]])/Tabela1[[#This Row],[Total do Pedido]]</f>
        <v>1</v>
      </c>
      <c r="H5" s="42">
        <f>SUM(Tabela1[[#This Row],[Total em Romaneio]],Tabela1[[#This Row],[Saldo Despacho]])</f>
        <v>80051.399999999994</v>
      </c>
      <c r="I5" s="9">
        <v>80051.399999999994</v>
      </c>
      <c r="J5" s="10">
        <v>46178</v>
      </c>
      <c r="K5" s="2"/>
      <c r="L5" s="8">
        <f>Tabela1[[#This Row],[Saldo Pedido]]/Tabela1[[#This Row],[Total do Pedido]]</f>
        <v>0</v>
      </c>
      <c r="M5" s="8">
        <f>Tabela1[[#This Row],[Total Despachado]]/Tabela1[[#This Row],[Total do Pedido]]</f>
        <v>0</v>
      </c>
      <c r="N5" s="2">
        <v>46168</v>
      </c>
      <c r="O5" s="2">
        <v>46168</v>
      </c>
      <c r="P5" s="2"/>
      <c r="Q5" s="10">
        <v>46171</v>
      </c>
      <c r="S5" s="1" t="s">
        <v>31</v>
      </c>
      <c r="T5" s="1" t="s">
        <v>38</v>
      </c>
      <c r="U5" s="1">
        <v>12</v>
      </c>
      <c r="V5" s="1" t="s">
        <v>39</v>
      </c>
      <c r="W5" s="1" t="s">
        <v>35</v>
      </c>
      <c r="X5" s="1" t="s">
        <v>51</v>
      </c>
      <c r="Y5" s="1" t="s">
        <v>37</v>
      </c>
      <c r="Z5" s="9">
        <v>80051.399999999994</v>
      </c>
      <c r="AA5" s="9">
        <v>0</v>
      </c>
      <c r="AB5" s="9">
        <v>18290</v>
      </c>
      <c r="AC5" s="9">
        <v>4250</v>
      </c>
      <c r="AD5" s="9">
        <v>14040</v>
      </c>
      <c r="AE5" s="9">
        <v>80051.399999999994</v>
      </c>
      <c r="AF5" s="9">
        <v>0</v>
      </c>
      <c r="AG5" s="9">
        <v>80051.399999999994</v>
      </c>
      <c r="AH5" s="9">
        <v>0</v>
      </c>
      <c r="AI5" s="9">
        <v>0</v>
      </c>
      <c r="AJ5" s="11">
        <v>1</v>
      </c>
    </row>
    <row r="6" spans="1:38" x14ac:dyDescent="0.3">
      <c r="A6" s="1" t="s">
        <v>64</v>
      </c>
      <c r="B6" s="1">
        <v>218268</v>
      </c>
      <c r="C6" s="1"/>
      <c r="D6" s="1" t="s">
        <v>65</v>
      </c>
      <c r="E6" s="7" t="s">
        <v>63</v>
      </c>
      <c r="F6" s="7" t="s">
        <v>41</v>
      </c>
      <c r="G6" s="8">
        <f>SUM(Tabela1[[#This Row],[Total em Romaneio]],Tabela1[[#This Row],[Saldo Despacho]])/Tabela1[[#This Row],[Total do Pedido]]</f>
        <v>1</v>
      </c>
      <c r="H6" s="42">
        <f>SUM(Tabela1[[#This Row],[Total em Romaneio]],Tabela1[[#This Row],[Saldo Despacho]])</f>
        <v>75899.34</v>
      </c>
      <c r="I6" s="9">
        <v>75899.34</v>
      </c>
      <c r="J6" s="10">
        <v>46178</v>
      </c>
      <c r="K6" s="2"/>
      <c r="L6" s="8">
        <f>Tabela1[[#This Row],[Saldo Pedido]]/Tabela1[[#This Row],[Total do Pedido]]</f>
        <v>0</v>
      </c>
      <c r="M6" s="8">
        <f>Tabela1[[#This Row],[Total Despachado]]/Tabela1[[#This Row],[Total do Pedido]]</f>
        <v>0</v>
      </c>
      <c r="N6" s="2">
        <v>46168</v>
      </c>
      <c r="O6" s="2">
        <v>46169</v>
      </c>
      <c r="P6" s="2"/>
      <c r="S6" s="1" t="s">
        <v>66</v>
      </c>
      <c r="T6" s="1" t="s">
        <v>32</v>
      </c>
      <c r="U6" s="1">
        <v>12</v>
      </c>
      <c r="V6" s="1" t="s">
        <v>49</v>
      </c>
      <c r="W6" s="1" t="s">
        <v>35</v>
      </c>
      <c r="X6" s="1" t="s">
        <v>42</v>
      </c>
      <c r="Y6" s="1" t="s">
        <v>37</v>
      </c>
      <c r="Z6" s="9">
        <v>75899.34</v>
      </c>
      <c r="AA6" s="9">
        <v>0</v>
      </c>
      <c r="AB6" s="9">
        <v>0</v>
      </c>
      <c r="AC6" s="9">
        <v>0</v>
      </c>
      <c r="AD6" s="9">
        <v>0</v>
      </c>
      <c r="AE6" s="9">
        <v>75899.34</v>
      </c>
      <c r="AF6" s="9">
        <v>0</v>
      </c>
      <c r="AG6" s="9">
        <v>75899.34</v>
      </c>
      <c r="AH6" s="9">
        <v>0</v>
      </c>
      <c r="AI6" s="9">
        <v>0</v>
      </c>
      <c r="AJ6" s="11">
        <v>1</v>
      </c>
    </row>
    <row r="7" spans="1:38" hidden="1" x14ac:dyDescent="0.3">
      <c r="A7" s="1" t="s">
        <v>74</v>
      </c>
      <c r="B7" s="1">
        <v>218080</v>
      </c>
      <c r="C7" s="1"/>
      <c r="D7" s="1" t="s">
        <v>75</v>
      </c>
      <c r="E7" s="7" t="s">
        <v>71</v>
      </c>
      <c r="F7" s="7" t="s">
        <v>41</v>
      </c>
      <c r="G7" s="8">
        <f>SUM(Tabela1[[#This Row],[Total em Romaneio]],Tabela1[[#This Row],[Saldo Despacho]])/Tabela1[[#This Row],[Total do Pedido]]</f>
        <v>1</v>
      </c>
      <c r="H7" s="42">
        <f>SUM(Tabela1[[#This Row],[Total em Romaneio]],Tabela1[[#This Row],[Saldo Despacho]])</f>
        <v>16485</v>
      </c>
      <c r="I7" s="9">
        <v>16485</v>
      </c>
      <c r="J7" s="10">
        <v>46161</v>
      </c>
      <c r="K7" s="2"/>
      <c r="L7" s="8">
        <f>Tabela1[[#This Row],[Saldo Pedido]]/Tabela1[[#This Row],[Total do Pedido]]</f>
        <v>0</v>
      </c>
      <c r="M7" s="8">
        <f>Tabela1[[#This Row],[Total Despachado]]/Tabela1[[#This Row],[Total do Pedido]]</f>
        <v>0</v>
      </c>
      <c r="N7" s="2">
        <v>46160</v>
      </c>
      <c r="O7" s="2">
        <v>46160</v>
      </c>
      <c r="P7" s="2">
        <v>46161</v>
      </c>
      <c r="Q7" s="10">
        <v>46163</v>
      </c>
      <c r="R7" s="10">
        <v>46161</v>
      </c>
      <c r="S7" s="1" t="s">
        <v>31</v>
      </c>
      <c r="T7" s="1" t="s">
        <v>38</v>
      </c>
      <c r="U7" s="1">
        <v>12</v>
      </c>
      <c r="V7" s="1" t="s">
        <v>103</v>
      </c>
      <c r="W7" s="1" t="s">
        <v>35</v>
      </c>
      <c r="X7" s="1" t="s">
        <v>51</v>
      </c>
      <c r="Y7" s="1" t="s">
        <v>37</v>
      </c>
      <c r="Z7" s="9">
        <v>16485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16485</v>
      </c>
      <c r="AG7" s="9">
        <v>0</v>
      </c>
      <c r="AH7" s="9">
        <v>0</v>
      </c>
      <c r="AI7" s="9">
        <v>16485</v>
      </c>
      <c r="AJ7" s="11">
        <v>1</v>
      </c>
    </row>
    <row r="8" spans="1:38" hidden="1" x14ac:dyDescent="0.3">
      <c r="A8" s="1" t="s">
        <v>59</v>
      </c>
      <c r="B8" s="1">
        <v>218037</v>
      </c>
      <c r="C8" s="1">
        <v>114228</v>
      </c>
      <c r="D8" s="1" t="s">
        <v>60</v>
      </c>
      <c r="E8" s="7" t="s">
        <v>34</v>
      </c>
      <c r="F8" s="7" t="s">
        <v>137</v>
      </c>
      <c r="G8" s="8">
        <f>SUM(Tabela1[[#This Row],[Total em Romaneio]],Tabela1[[#This Row],[Saldo Despacho]])/Tabela1[[#This Row],[Total do Pedido]]</f>
        <v>1</v>
      </c>
      <c r="H8" s="42">
        <f>SUM(Tabela1[[#This Row],[Total em Romaneio]],Tabela1[[#This Row],[Saldo Despacho]])</f>
        <v>14193.25</v>
      </c>
      <c r="I8" s="9">
        <v>14193.25</v>
      </c>
      <c r="J8" s="10">
        <v>46167</v>
      </c>
      <c r="K8" s="2"/>
      <c r="L8" s="8">
        <f>Tabela1[[#This Row],[Saldo Pedido]]/Tabela1[[#This Row],[Total do Pedido]]</f>
        <v>0</v>
      </c>
      <c r="M8" s="8">
        <f>Tabela1[[#This Row],[Total Despachado]]/Tabela1[[#This Row],[Total do Pedido]]</f>
        <v>0</v>
      </c>
      <c r="N8" s="2">
        <v>46157</v>
      </c>
      <c r="O8" s="2">
        <v>46160</v>
      </c>
      <c r="P8" s="2"/>
      <c r="Q8" s="10">
        <v>46164</v>
      </c>
      <c r="S8" s="1" t="s">
        <v>31</v>
      </c>
      <c r="T8" s="1" t="s">
        <v>32</v>
      </c>
      <c r="U8" s="1">
        <v>12</v>
      </c>
      <c r="V8" s="1" t="s">
        <v>33</v>
      </c>
      <c r="W8" s="1" t="s">
        <v>35</v>
      </c>
      <c r="X8" s="1" t="s">
        <v>52</v>
      </c>
      <c r="Y8" s="1" t="s">
        <v>37</v>
      </c>
      <c r="Z8" s="9">
        <v>14193.25</v>
      </c>
      <c r="AA8" s="9">
        <v>0</v>
      </c>
      <c r="AB8" s="9">
        <v>1660.64</v>
      </c>
      <c r="AC8" s="9">
        <v>706.64</v>
      </c>
      <c r="AD8" s="9">
        <v>954</v>
      </c>
      <c r="AE8" s="9">
        <v>0</v>
      </c>
      <c r="AF8" s="9">
        <v>14193.25</v>
      </c>
      <c r="AG8" s="9">
        <v>0</v>
      </c>
      <c r="AH8" s="9">
        <v>0</v>
      </c>
      <c r="AI8" s="9">
        <v>14193.25</v>
      </c>
      <c r="AJ8" s="11">
        <v>1</v>
      </c>
    </row>
    <row r="9" spans="1:38" hidden="1" x14ac:dyDescent="0.3">
      <c r="A9" s="1" t="s">
        <v>158</v>
      </c>
      <c r="B9" s="1">
        <v>218275</v>
      </c>
      <c r="C9" s="1"/>
      <c r="D9" s="1" t="s">
        <v>160</v>
      </c>
      <c r="E9" s="7" t="s">
        <v>63</v>
      </c>
      <c r="F9" s="7" t="s">
        <v>41</v>
      </c>
      <c r="G9" s="8">
        <f>SUM(Tabela1[[#This Row],[Total em Romaneio]],Tabela1[[#This Row],[Saldo Despacho]])/Tabela1[[#This Row],[Total do Pedido]]</f>
        <v>1</v>
      </c>
      <c r="H9" s="42">
        <f>SUM(Tabela1[[#This Row],[Total em Romaneio]],Tabela1[[#This Row],[Saldo Despacho]])</f>
        <v>13485.4</v>
      </c>
      <c r="I9" s="9">
        <v>13485.4</v>
      </c>
      <c r="J9" s="10">
        <v>46178</v>
      </c>
      <c r="K9" s="2"/>
      <c r="L9" s="8">
        <f>Tabela1[[#This Row],[Saldo Pedido]]/Tabela1[[#This Row],[Total do Pedido]]</f>
        <v>0</v>
      </c>
      <c r="M9" s="8">
        <f>Tabela1[[#This Row],[Total Despachado]]/Tabela1[[#This Row],[Total do Pedido]]</f>
        <v>0</v>
      </c>
      <c r="N9" s="2">
        <v>46168</v>
      </c>
      <c r="O9" s="2">
        <v>46168</v>
      </c>
      <c r="P9" s="2"/>
      <c r="Q9" s="10">
        <v>46171</v>
      </c>
      <c r="R9" s="10">
        <v>46171</v>
      </c>
      <c r="S9" s="1" t="s">
        <v>31</v>
      </c>
      <c r="T9" s="1" t="s">
        <v>38</v>
      </c>
      <c r="U9" s="1">
        <v>12</v>
      </c>
      <c r="V9" s="1" t="s">
        <v>39</v>
      </c>
      <c r="W9" s="1" t="s">
        <v>35</v>
      </c>
      <c r="X9" s="1" t="s">
        <v>52</v>
      </c>
      <c r="Y9" s="1" t="s">
        <v>37</v>
      </c>
      <c r="Z9" s="9">
        <v>13485.4</v>
      </c>
      <c r="AA9" s="9">
        <v>0</v>
      </c>
      <c r="AB9" s="9">
        <v>1318.1</v>
      </c>
      <c r="AC9" s="9">
        <v>1318.1</v>
      </c>
      <c r="AD9" s="9">
        <v>0</v>
      </c>
      <c r="AE9" s="9">
        <v>13485.4</v>
      </c>
      <c r="AF9" s="9">
        <v>0</v>
      </c>
      <c r="AG9" s="9">
        <v>13485.4</v>
      </c>
      <c r="AH9" s="9">
        <v>0</v>
      </c>
      <c r="AI9" s="9">
        <v>0</v>
      </c>
      <c r="AJ9" s="11">
        <v>1</v>
      </c>
    </row>
    <row r="10" spans="1:38" hidden="1" x14ac:dyDescent="0.3">
      <c r="A10" s="1" t="s">
        <v>53</v>
      </c>
      <c r="B10" s="1">
        <v>217915</v>
      </c>
      <c r="C10" s="1"/>
      <c r="D10" s="1" t="s">
        <v>54</v>
      </c>
      <c r="E10" s="7" t="s">
        <v>63</v>
      </c>
      <c r="F10" s="7" t="s">
        <v>41</v>
      </c>
      <c r="G10" s="8">
        <f>SUM(Tabela1[[#This Row],[Total em Romaneio]],Tabela1[[#This Row],[Saldo Despacho]])/Tabela1[[#This Row],[Total do Pedido]]</f>
        <v>1</v>
      </c>
      <c r="H10" s="42">
        <f>SUM(Tabela1[[#This Row],[Total em Romaneio]],Tabela1[[#This Row],[Saldo Despacho]])</f>
        <v>10832.25</v>
      </c>
      <c r="I10" s="9">
        <v>10832.25</v>
      </c>
      <c r="J10" s="10">
        <v>46175</v>
      </c>
      <c r="K10" s="2"/>
      <c r="L10" s="8">
        <f>Tabela1[[#This Row],[Saldo Pedido]]/Tabela1[[#This Row],[Total do Pedido]]</f>
        <v>0</v>
      </c>
      <c r="M10" s="8">
        <f>Tabela1[[#This Row],[Total Despachado]]/Tabela1[[#This Row],[Total do Pedido]]</f>
        <v>0</v>
      </c>
      <c r="N10" s="2">
        <v>46154</v>
      </c>
      <c r="O10" s="2">
        <v>46156</v>
      </c>
      <c r="P10" s="2"/>
      <c r="Q10" s="10">
        <v>46171</v>
      </c>
      <c r="R10" s="10">
        <v>46171</v>
      </c>
      <c r="S10" s="1" t="s">
        <v>31</v>
      </c>
      <c r="T10" s="1" t="s">
        <v>133</v>
      </c>
      <c r="U10" s="1">
        <v>12</v>
      </c>
      <c r="V10" s="1" t="s">
        <v>49</v>
      </c>
      <c r="W10" s="1" t="s">
        <v>35</v>
      </c>
      <c r="X10" s="1" t="s">
        <v>51</v>
      </c>
      <c r="Y10" s="1" t="s">
        <v>37</v>
      </c>
      <c r="Z10" s="9">
        <v>10832.25</v>
      </c>
      <c r="AA10" s="9">
        <v>0</v>
      </c>
      <c r="AB10" s="9">
        <v>3900</v>
      </c>
      <c r="AC10" s="9">
        <v>3900</v>
      </c>
      <c r="AD10" s="9">
        <v>0</v>
      </c>
      <c r="AE10" s="9">
        <v>0</v>
      </c>
      <c r="AF10" s="9">
        <v>10832.25</v>
      </c>
      <c r="AG10" s="9">
        <v>0</v>
      </c>
      <c r="AH10" s="9">
        <v>0</v>
      </c>
      <c r="AI10" s="9">
        <v>10832.25</v>
      </c>
      <c r="AJ10" s="11">
        <v>1</v>
      </c>
    </row>
    <row r="11" spans="1:38" x14ac:dyDescent="0.3">
      <c r="A11" s="1" t="s">
        <v>64</v>
      </c>
      <c r="B11" s="1">
        <v>218276</v>
      </c>
      <c r="C11" s="1"/>
      <c r="D11" s="1" t="s">
        <v>65</v>
      </c>
      <c r="E11" s="7" t="s">
        <v>63</v>
      </c>
      <c r="F11" s="7" t="s">
        <v>41</v>
      </c>
      <c r="G11" s="8">
        <f>SUM(Tabela1[[#This Row],[Total em Romaneio]],Tabela1[[#This Row],[Saldo Despacho]])/Tabela1[[#This Row],[Total do Pedido]]</f>
        <v>1</v>
      </c>
      <c r="H11" s="42">
        <f>SUM(Tabela1[[#This Row],[Total em Romaneio]],Tabela1[[#This Row],[Saldo Despacho]])</f>
        <v>9806.2999999999993</v>
      </c>
      <c r="I11" s="9">
        <v>9806.2999999999993</v>
      </c>
      <c r="J11" s="10">
        <v>46178</v>
      </c>
      <c r="K11" s="2"/>
      <c r="L11" s="8">
        <f>Tabela1[[#This Row],[Saldo Pedido]]/Tabela1[[#This Row],[Total do Pedido]]</f>
        <v>0</v>
      </c>
      <c r="M11" s="8">
        <f>Tabela1[[#This Row],[Total Despachado]]/Tabela1[[#This Row],[Total do Pedido]]</f>
        <v>0</v>
      </c>
      <c r="N11" s="2">
        <v>46168</v>
      </c>
      <c r="O11" s="2">
        <v>46169</v>
      </c>
      <c r="P11" s="2"/>
      <c r="S11" s="1" t="s">
        <v>66</v>
      </c>
      <c r="T11" s="1" t="s">
        <v>32</v>
      </c>
      <c r="U11" s="1">
        <v>12</v>
      </c>
      <c r="V11" s="1" t="s">
        <v>49</v>
      </c>
      <c r="W11" s="1" t="s">
        <v>35</v>
      </c>
      <c r="X11" s="1" t="s">
        <v>42</v>
      </c>
      <c r="Y11" s="1" t="s">
        <v>37</v>
      </c>
      <c r="Z11" s="9">
        <v>9806.2999999999993</v>
      </c>
      <c r="AA11" s="9">
        <v>0</v>
      </c>
      <c r="AB11" s="9">
        <v>0</v>
      </c>
      <c r="AC11" s="9">
        <v>0</v>
      </c>
      <c r="AD11" s="9">
        <v>0</v>
      </c>
      <c r="AE11" s="9">
        <v>9806.2999999999993</v>
      </c>
      <c r="AF11" s="9">
        <v>0</v>
      </c>
      <c r="AG11" s="9">
        <v>9806.2999999999993</v>
      </c>
      <c r="AH11" s="9">
        <v>0</v>
      </c>
      <c r="AI11" s="9">
        <v>0</v>
      </c>
      <c r="AJ11" s="11">
        <v>1</v>
      </c>
    </row>
    <row r="12" spans="1:38" hidden="1" x14ac:dyDescent="0.3">
      <c r="A12" s="1" t="s">
        <v>135</v>
      </c>
      <c r="B12" s="1">
        <v>218177</v>
      </c>
      <c r="C12" s="1">
        <v>114206</v>
      </c>
      <c r="D12" s="1" t="s">
        <v>136</v>
      </c>
      <c r="E12" s="7" t="s">
        <v>34</v>
      </c>
      <c r="F12" s="7" t="s">
        <v>41</v>
      </c>
      <c r="G12" s="8">
        <f>SUM(Tabela1[[#This Row],[Total em Romaneio]],Tabela1[[#This Row],[Saldo Despacho]])/Tabela1[[#This Row],[Total do Pedido]]</f>
        <v>1</v>
      </c>
      <c r="H12" s="42">
        <f>SUM(Tabela1[[#This Row],[Total em Romaneio]],Tabela1[[#This Row],[Saldo Despacho]])</f>
        <v>8089.7</v>
      </c>
      <c r="I12" s="9">
        <v>8089.7</v>
      </c>
      <c r="J12" s="10">
        <v>46168</v>
      </c>
      <c r="K12" s="2"/>
      <c r="L12" s="8">
        <f>Tabela1[[#This Row],[Saldo Pedido]]/Tabela1[[#This Row],[Total do Pedido]]</f>
        <v>0</v>
      </c>
      <c r="M12" s="8">
        <f>Tabela1[[#This Row],[Total Despachado]]/Tabela1[[#This Row],[Total do Pedido]]</f>
        <v>0</v>
      </c>
      <c r="N12" s="2">
        <v>46163</v>
      </c>
      <c r="O12" s="2">
        <v>46164</v>
      </c>
      <c r="P12" s="2">
        <v>46168</v>
      </c>
      <c r="Q12" s="10">
        <v>46169</v>
      </c>
      <c r="R12" s="10">
        <v>46169</v>
      </c>
      <c r="S12" s="1" t="s">
        <v>48</v>
      </c>
      <c r="T12" s="1" t="s">
        <v>32</v>
      </c>
      <c r="U12" s="1">
        <v>12</v>
      </c>
      <c r="V12" s="1" t="s">
        <v>61</v>
      </c>
      <c r="W12" s="1" t="s">
        <v>35</v>
      </c>
      <c r="X12" s="1" t="s">
        <v>52</v>
      </c>
      <c r="Y12" s="1" t="s">
        <v>37</v>
      </c>
      <c r="Z12" s="9">
        <v>8089.7</v>
      </c>
      <c r="AA12" s="9">
        <v>0</v>
      </c>
      <c r="AB12" s="9">
        <v>1558.5</v>
      </c>
      <c r="AC12" s="9">
        <v>1558.5</v>
      </c>
      <c r="AD12" s="9">
        <v>0</v>
      </c>
      <c r="AE12" s="9">
        <v>8089.7</v>
      </c>
      <c r="AF12" s="9">
        <v>0</v>
      </c>
      <c r="AG12" s="9">
        <v>8089.7</v>
      </c>
      <c r="AH12" s="9">
        <v>0</v>
      </c>
      <c r="AI12" s="9">
        <v>0</v>
      </c>
      <c r="AJ12" s="11">
        <v>1</v>
      </c>
    </row>
    <row r="13" spans="1:38" hidden="1" x14ac:dyDescent="0.3">
      <c r="A13" s="1" t="s">
        <v>53</v>
      </c>
      <c r="B13" s="1">
        <v>218344</v>
      </c>
      <c r="C13" s="1"/>
      <c r="D13" s="1" t="s">
        <v>54</v>
      </c>
      <c r="E13" s="7" t="s">
        <v>57</v>
      </c>
      <c r="F13" s="7" t="s">
        <v>120</v>
      </c>
      <c r="G13" s="8">
        <f>SUM(Tabela1[[#This Row],[Total em Romaneio]],Tabela1[[#This Row],[Saldo Despacho]])/Tabela1[[#This Row],[Total do Pedido]]</f>
        <v>1</v>
      </c>
      <c r="H13" s="42">
        <f>SUM(Tabela1[[#This Row],[Total em Romaneio]],Tabela1[[#This Row],[Saldo Despacho]])</f>
        <v>7547.75</v>
      </c>
      <c r="I13" s="9">
        <v>7547.75</v>
      </c>
      <c r="J13" s="10">
        <v>46192</v>
      </c>
      <c r="K13" s="2"/>
      <c r="L13" s="8">
        <f>Tabela1[[#This Row],[Saldo Pedido]]/Tabela1[[#This Row],[Total do Pedido]]</f>
        <v>0</v>
      </c>
      <c r="M13" s="8">
        <f>Tabela1[[#This Row],[Total Despachado]]/Tabela1[[#This Row],[Total do Pedido]]</f>
        <v>0</v>
      </c>
      <c r="N13" s="2">
        <v>46170</v>
      </c>
      <c r="O13" s="2">
        <v>46170</v>
      </c>
      <c r="P13" s="2"/>
      <c r="S13" s="1" t="s">
        <v>31</v>
      </c>
      <c r="T13" s="1" t="s">
        <v>38</v>
      </c>
      <c r="U13" s="1">
        <v>12</v>
      </c>
      <c r="V13" s="1" t="s">
        <v>49</v>
      </c>
      <c r="W13" s="1" t="s">
        <v>35</v>
      </c>
      <c r="X13" s="1" t="s">
        <v>42</v>
      </c>
      <c r="Y13" s="1" t="s">
        <v>37</v>
      </c>
      <c r="Z13" s="9">
        <v>7547.75</v>
      </c>
      <c r="AA13" s="9">
        <v>0</v>
      </c>
      <c r="AB13" s="9">
        <v>0</v>
      </c>
      <c r="AC13" s="9">
        <v>0</v>
      </c>
      <c r="AD13" s="9">
        <v>0</v>
      </c>
      <c r="AE13" s="9">
        <v>7547.75</v>
      </c>
      <c r="AF13" s="9">
        <v>0</v>
      </c>
      <c r="AG13" s="9">
        <v>7547.75</v>
      </c>
      <c r="AH13" s="9">
        <v>0</v>
      </c>
      <c r="AI13" s="9">
        <v>0</v>
      </c>
      <c r="AJ13" s="11">
        <v>1</v>
      </c>
    </row>
    <row r="14" spans="1:38" hidden="1" x14ac:dyDescent="0.3">
      <c r="A14" s="1" t="s">
        <v>74</v>
      </c>
      <c r="B14" s="1">
        <v>218124</v>
      </c>
      <c r="C14" s="1">
        <v>114260</v>
      </c>
      <c r="D14" s="1" t="s">
        <v>75</v>
      </c>
      <c r="E14" s="7" t="s">
        <v>34</v>
      </c>
      <c r="F14" s="7" t="s">
        <v>150</v>
      </c>
      <c r="G14" s="8">
        <f>SUM(Tabela1[[#This Row],[Total em Romaneio]],Tabela1[[#This Row],[Saldo Despacho]])/Tabela1[[#This Row],[Total do Pedido]]</f>
        <v>1</v>
      </c>
      <c r="H14" s="42">
        <f>SUM(Tabela1[[#This Row],[Total em Romaneio]],Tabela1[[#This Row],[Saldo Despacho]])</f>
        <v>6556.02</v>
      </c>
      <c r="I14" s="9">
        <v>6556.02</v>
      </c>
      <c r="J14" s="10">
        <v>46174</v>
      </c>
      <c r="K14" s="2"/>
      <c r="L14" s="8">
        <f>Tabela1[[#This Row],[Saldo Pedido]]/Tabela1[[#This Row],[Total do Pedido]]</f>
        <v>0</v>
      </c>
      <c r="M14" s="8">
        <f>Tabela1[[#This Row],[Total Despachado]]/Tabela1[[#This Row],[Total do Pedido]]</f>
        <v>0</v>
      </c>
      <c r="N14" s="2">
        <v>46162</v>
      </c>
      <c r="O14" s="2">
        <v>46162</v>
      </c>
      <c r="P14" s="2"/>
      <c r="Q14" s="10">
        <v>46168</v>
      </c>
      <c r="S14" s="1" t="s">
        <v>31</v>
      </c>
      <c r="T14" s="1" t="s">
        <v>32</v>
      </c>
      <c r="U14" s="1">
        <v>12</v>
      </c>
      <c r="V14" s="1" t="s">
        <v>33</v>
      </c>
      <c r="W14" s="1" t="s">
        <v>35</v>
      </c>
      <c r="X14" s="1" t="s">
        <v>52</v>
      </c>
      <c r="Y14" s="1" t="s">
        <v>37</v>
      </c>
      <c r="Z14" s="9">
        <v>6556.02</v>
      </c>
      <c r="AA14" s="9">
        <v>0</v>
      </c>
      <c r="AB14" s="9">
        <v>951.65</v>
      </c>
      <c r="AC14" s="9">
        <v>512.29</v>
      </c>
      <c r="AD14" s="9">
        <v>439.36</v>
      </c>
      <c r="AE14" s="9">
        <v>4219.67</v>
      </c>
      <c r="AF14" s="9">
        <v>2336.35</v>
      </c>
      <c r="AG14" s="9">
        <v>4219.67</v>
      </c>
      <c r="AH14" s="9">
        <v>0</v>
      </c>
      <c r="AI14" s="9">
        <v>2336.35</v>
      </c>
      <c r="AJ14" s="11">
        <v>1</v>
      </c>
    </row>
    <row r="15" spans="1:38" x14ac:dyDescent="0.3">
      <c r="A15" s="1" t="s">
        <v>64</v>
      </c>
      <c r="B15" s="1">
        <v>217898</v>
      </c>
      <c r="C15" s="1"/>
      <c r="D15" s="1" t="s">
        <v>65</v>
      </c>
      <c r="E15" s="7" t="s">
        <v>34</v>
      </c>
      <c r="F15" s="7" t="s">
        <v>77</v>
      </c>
      <c r="G15" s="8">
        <f>SUM(Tabela1[[#This Row],[Total em Romaneio]],Tabela1[[#This Row],[Saldo Despacho]])/Tabela1[[#This Row],[Total do Pedido]]</f>
        <v>1</v>
      </c>
      <c r="H15" s="42">
        <f>SUM(Tabela1[[#This Row],[Total em Romaneio]],Tabela1[[#This Row],[Saldo Despacho]])</f>
        <v>4920</v>
      </c>
      <c r="I15" s="9">
        <v>4920</v>
      </c>
      <c r="J15" s="10">
        <v>46161</v>
      </c>
      <c r="K15" s="2"/>
      <c r="L15" s="8">
        <f>Tabela1[[#This Row],[Saldo Pedido]]/Tabela1[[#This Row],[Total do Pedido]]</f>
        <v>0</v>
      </c>
      <c r="M15" s="8">
        <f>Tabela1[[#This Row],[Total Despachado]]/Tabela1[[#This Row],[Total do Pedido]]</f>
        <v>0</v>
      </c>
      <c r="N15" s="2">
        <v>46154</v>
      </c>
      <c r="O15" s="2">
        <v>46154</v>
      </c>
      <c r="P15" s="2">
        <v>46161</v>
      </c>
      <c r="Q15" s="10">
        <v>46171</v>
      </c>
      <c r="R15" s="10">
        <v>46171</v>
      </c>
      <c r="S15" s="1" t="s">
        <v>66</v>
      </c>
      <c r="T15" s="1" t="s">
        <v>32</v>
      </c>
      <c r="U15" s="1">
        <v>12</v>
      </c>
      <c r="V15" s="1" t="s">
        <v>49</v>
      </c>
      <c r="W15" s="1" t="s">
        <v>35</v>
      </c>
      <c r="X15" s="1" t="s">
        <v>51</v>
      </c>
      <c r="Y15" s="1" t="s">
        <v>37</v>
      </c>
      <c r="Z15" s="9">
        <v>4920</v>
      </c>
      <c r="AA15" s="9">
        <v>0</v>
      </c>
      <c r="AB15" s="9">
        <v>2400</v>
      </c>
      <c r="AC15" s="9">
        <v>2400</v>
      </c>
      <c r="AD15" s="9">
        <v>0</v>
      </c>
      <c r="AE15" s="9">
        <v>4920</v>
      </c>
      <c r="AF15" s="9">
        <v>0</v>
      </c>
      <c r="AG15" s="9">
        <v>4920</v>
      </c>
      <c r="AH15" s="9">
        <v>0</v>
      </c>
      <c r="AI15" s="9">
        <v>0</v>
      </c>
      <c r="AJ15" s="11">
        <v>1</v>
      </c>
    </row>
    <row r="16" spans="1:38" hidden="1" x14ac:dyDescent="0.3">
      <c r="A16" s="1" t="s">
        <v>135</v>
      </c>
      <c r="B16" s="1">
        <v>217972</v>
      </c>
      <c r="C16" s="1">
        <v>114092</v>
      </c>
      <c r="D16" s="1" t="s">
        <v>136</v>
      </c>
      <c r="E16" s="7" t="s">
        <v>34</v>
      </c>
      <c r="F16" s="7" t="s">
        <v>95</v>
      </c>
      <c r="G16" s="8">
        <f>SUM(Tabela1[[#This Row],[Total em Romaneio]],Tabela1[[#This Row],[Saldo Despacho]])/Tabela1[[#This Row],[Total do Pedido]]</f>
        <v>1</v>
      </c>
      <c r="H16" s="42">
        <f>SUM(Tabela1[[#This Row],[Total em Romaneio]],Tabela1[[#This Row],[Saldo Despacho]])</f>
        <v>3105</v>
      </c>
      <c r="I16" s="9">
        <v>3105</v>
      </c>
      <c r="J16" s="10">
        <v>46157</v>
      </c>
      <c r="K16" s="2"/>
      <c r="L16" s="8">
        <f>Tabela1[[#This Row],[Saldo Pedido]]/Tabela1[[#This Row],[Total do Pedido]]</f>
        <v>0</v>
      </c>
      <c r="M16" s="8">
        <f>Tabela1[[#This Row],[Total Despachado]]/Tabela1[[#This Row],[Total do Pedido]]</f>
        <v>0</v>
      </c>
      <c r="N16" s="2">
        <v>46156</v>
      </c>
      <c r="O16" s="2">
        <v>46156</v>
      </c>
      <c r="P16" s="2">
        <v>46157</v>
      </c>
      <c r="Q16" s="10">
        <v>46157</v>
      </c>
      <c r="R16" s="10">
        <v>46157</v>
      </c>
      <c r="S16" s="1" t="s">
        <v>48</v>
      </c>
      <c r="T16" s="1" t="s">
        <v>32</v>
      </c>
      <c r="U16" s="1">
        <v>12</v>
      </c>
      <c r="V16" s="1" t="s">
        <v>33</v>
      </c>
      <c r="W16" s="1" t="s">
        <v>35</v>
      </c>
      <c r="X16" s="1" t="s">
        <v>52</v>
      </c>
      <c r="Y16" s="1" t="s">
        <v>37</v>
      </c>
      <c r="Z16" s="9">
        <v>3105</v>
      </c>
      <c r="AA16" s="9">
        <v>0</v>
      </c>
      <c r="AB16" s="9">
        <v>1472</v>
      </c>
      <c r="AC16" s="9">
        <v>1472</v>
      </c>
      <c r="AD16" s="9">
        <v>0</v>
      </c>
      <c r="AE16" s="9">
        <v>3105</v>
      </c>
      <c r="AF16" s="9">
        <v>0</v>
      </c>
      <c r="AG16" s="9">
        <v>3105</v>
      </c>
      <c r="AH16" s="9">
        <v>0</v>
      </c>
      <c r="AI16" s="9">
        <v>0</v>
      </c>
      <c r="AJ16" s="11">
        <v>1</v>
      </c>
    </row>
    <row r="17" spans="1:36" x14ac:dyDescent="0.3">
      <c r="A17" s="1" t="s">
        <v>64</v>
      </c>
      <c r="B17" s="1">
        <v>218225</v>
      </c>
      <c r="C17" s="1"/>
      <c r="D17" s="1" t="s">
        <v>65</v>
      </c>
      <c r="E17" s="7" t="s">
        <v>57</v>
      </c>
      <c r="F17" s="7" t="s">
        <v>77</v>
      </c>
      <c r="G17" s="8">
        <f>SUM(Tabela1[[#This Row],[Total em Romaneio]],Tabela1[[#This Row],[Saldo Despacho]])/Tabela1[[#This Row],[Total do Pedido]]</f>
        <v>1</v>
      </c>
      <c r="H17" s="42">
        <f>SUM(Tabela1[[#This Row],[Total em Romaneio]],Tabela1[[#This Row],[Saldo Despacho]])</f>
        <v>2692.12</v>
      </c>
      <c r="I17" s="9">
        <v>2692.12</v>
      </c>
      <c r="J17" s="10">
        <v>46178</v>
      </c>
      <c r="K17" s="2"/>
      <c r="L17" s="8">
        <f>Tabela1[[#This Row],[Saldo Pedido]]/Tabela1[[#This Row],[Total do Pedido]]</f>
        <v>0</v>
      </c>
      <c r="M17" s="8">
        <f>Tabela1[[#This Row],[Total Despachado]]/Tabela1[[#This Row],[Total do Pedido]]</f>
        <v>0</v>
      </c>
      <c r="N17" s="2">
        <v>46164</v>
      </c>
      <c r="O17" s="2">
        <v>46167</v>
      </c>
      <c r="P17" s="2"/>
      <c r="Q17" s="10">
        <v>46171</v>
      </c>
      <c r="S17" s="1" t="s">
        <v>66</v>
      </c>
      <c r="T17" s="1" t="s">
        <v>32</v>
      </c>
      <c r="U17" s="1">
        <v>12</v>
      </c>
      <c r="V17" s="1" t="s">
        <v>39</v>
      </c>
      <c r="W17" s="1" t="s">
        <v>35</v>
      </c>
      <c r="X17" s="1" t="s">
        <v>52</v>
      </c>
      <c r="Y17" s="1" t="s">
        <v>37</v>
      </c>
      <c r="Z17" s="9">
        <v>2692.12</v>
      </c>
      <c r="AA17" s="9">
        <v>0</v>
      </c>
      <c r="AB17" s="9">
        <v>1223.0999999999999</v>
      </c>
      <c r="AC17" s="9">
        <v>1065.51</v>
      </c>
      <c r="AD17" s="9">
        <v>157.59</v>
      </c>
      <c r="AE17" s="9">
        <v>2692.12</v>
      </c>
      <c r="AF17" s="9">
        <v>0</v>
      </c>
      <c r="AG17" s="9">
        <v>2692.12</v>
      </c>
      <c r="AH17" s="9">
        <v>0</v>
      </c>
      <c r="AI17" s="9">
        <v>0</v>
      </c>
      <c r="AJ17" s="11">
        <v>1</v>
      </c>
    </row>
    <row r="18" spans="1:36" hidden="1" x14ac:dyDescent="0.3">
      <c r="A18" s="1" t="s">
        <v>135</v>
      </c>
      <c r="B18" s="1">
        <v>217732</v>
      </c>
      <c r="C18" s="1">
        <v>114084</v>
      </c>
      <c r="D18" s="1" t="s">
        <v>136</v>
      </c>
      <c r="E18" s="7" t="s">
        <v>34</v>
      </c>
      <c r="F18" s="7" t="s">
        <v>95</v>
      </c>
      <c r="G18" s="8">
        <f>SUM(Tabela1[[#This Row],[Total em Romaneio]],Tabela1[[#This Row],[Saldo Despacho]])/Tabela1[[#This Row],[Total do Pedido]]</f>
        <v>1</v>
      </c>
      <c r="H18" s="42">
        <f>SUM(Tabela1[[#This Row],[Total em Romaneio]],Tabela1[[#This Row],[Saldo Despacho]])</f>
        <v>2660.1</v>
      </c>
      <c r="I18" s="9">
        <v>2660.1</v>
      </c>
      <c r="J18" s="10">
        <v>46168</v>
      </c>
      <c r="K18" s="2"/>
      <c r="L18" s="8">
        <f>Tabela1[[#This Row],[Saldo Pedido]]/Tabela1[[#This Row],[Total do Pedido]]</f>
        <v>0</v>
      </c>
      <c r="M18" s="8">
        <f>Tabela1[[#This Row],[Total Despachado]]/Tabela1[[#This Row],[Total do Pedido]]</f>
        <v>0</v>
      </c>
      <c r="N18" s="2">
        <v>46148</v>
      </c>
      <c r="O18" s="2">
        <v>46164</v>
      </c>
      <c r="P18" s="2"/>
      <c r="S18" s="1" t="s">
        <v>48</v>
      </c>
      <c r="T18" s="1" t="s">
        <v>32</v>
      </c>
      <c r="U18" s="1">
        <v>12</v>
      </c>
      <c r="V18" s="1" t="s">
        <v>33</v>
      </c>
      <c r="W18" s="1" t="s">
        <v>35</v>
      </c>
      <c r="X18" s="1" t="s">
        <v>42</v>
      </c>
      <c r="Y18" s="1" t="s">
        <v>37</v>
      </c>
      <c r="Z18" s="9">
        <v>2660.1</v>
      </c>
      <c r="AA18" s="9">
        <v>0</v>
      </c>
      <c r="AB18" s="9">
        <v>0</v>
      </c>
      <c r="AC18" s="9">
        <v>0</v>
      </c>
      <c r="AD18" s="9">
        <v>0</v>
      </c>
      <c r="AE18" s="9">
        <v>2660.1</v>
      </c>
      <c r="AF18" s="9">
        <v>0</v>
      </c>
      <c r="AG18" s="9">
        <v>2660.1</v>
      </c>
      <c r="AH18" s="9">
        <v>0</v>
      </c>
      <c r="AI18" s="9">
        <v>0</v>
      </c>
      <c r="AJ18" s="11">
        <v>1</v>
      </c>
    </row>
    <row r="19" spans="1:36" hidden="1" x14ac:dyDescent="0.3">
      <c r="A19" s="1" t="s">
        <v>53</v>
      </c>
      <c r="B19" s="1">
        <v>218346</v>
      </c>
      <c r="C19" s="1"/>
      <c r="D19" s="1" t="s">
        <v>54</v>
      </c>
      <c r="E19" s="7" t="s">
        <v>57</v>
      </c>
      <c r="F19" s="7" t="s">
        <v>120</v>
      </c>
      <c r="G19" s="8">
        <f>SUM(Tabela1[[#This Row],[Total em Romaneio]],Tabela1[[#This Row],[Saldo Despacho]])/Tabela1[[#This Row],[Total do Pedido]]</f>
        <v>1</v>
      </c>
      <c r="H19" s="42">
        <f>SUM(Tabela1[[#This Row],[Total em Romaneio]],Tabela1[[#This Row],[Saldo Despacho]])</f>
        <v>1823.4</v>
      </c>
      <c r="I19" s="9">
        <v>1823.4</v>
      </c>
      <c r="J19" s="10">
        <v>46192</v>
      </c>
      <c r="K19" s="2"/>
      <c r="L19" s="8">
        <f>Tabela1[[#This Row],[Saldo Pedido]]/Tabela1[[#This Row],[Total do Pedido]]</f>
        <v>0</v>
      </c>
      <c r="M19" s="8">
        <f>Tabela1[[#This Row],[Total Despachado]]/Tabela1[[#This Row],[Total do Pedido]]</f>
        <v>0</v>
      </c>
      <c r="N19" s="2">
        <v>46170</v>
      </c>
      <c r="O19" s="2">
        <v>46170</v>
      </c>
      <c r="P19" s="2"/>
      <c r="S19" s="1" t="s">
        <v>31</v>
      </c>
      <c r="T19" s="1" t="s">
        <v>38</v>
      </c>
      <c r="U19" s="1">
        <v>12</v>
      </c>
      <c r="V19" s="1" t="s">
        <v>49</v>
      </c>
      <c r="W19" s="1" t="s">
        <v>35</v>
      </c>
      <c r="X19" s="1" t="s">
        <v>36</v>
      </c>
      <c r="Y19" s="1" t="s">
        <v>37</v>
      </c>
      <c r="Z19" s="9">
        <v>1823.4</v>
      </c>
      <c r="AA19" s="9">
        <v>0</v>
      </c>
      <c r="AB19" s="9">
        <v>120.6</v>
      </c>
      <c r="AC19" s="9">
        <v>0</v>
      </c>
      <c r="AD19" s="9">
        <v>120.6</v>
      </c>
      <c r="AE19" s="9">
        <v>1823.4</v>
      </c>
      <c r="AF19" s="9">
        <v>0</v>
      </c>
      <c r="AG19" s="9">
        <v>1823.4</v>
      </c>
      <c r="AH19" s="9">
        <v>0</v>
      </c>
      <c r="AI19" s="9">
        <v>0</v>
      </c>
      <c r="AJ19" s="11">
        <v>1</v>
      </c>
    </row>
    <row r="20" spans="1:36" hidden="1" x14ac:dyDescent="0.3">
      <c r="A20" s="1" t="s">
        <v>53</v>
      </c>
      <c r="B20" s="1">
        <v>218316</v>
      </c>
      <c r="C20" s="1">
        <v>114343</v>
      </c>
      <c r="D20" s="1" t="s">
        <v>54</v>
      </c>
      <c r="E20" s="7" t="s">
        <v>57</v>
      </c>
      <c r="F20" s="7" t="s">
        <v>77</v>
      </c>
      <c r="G20" s="8">
        <f>SUM(Tabela1[[#This Row],[Total em Romaneio]],Tabela1[[#This Row],[Saldo Despacho]])/Tabela1[[#This Row],[Total do Pedido]]</f>
        <v>1</v>
      </c>
      <c r="H20" s="42">
        <f>SUM(Tabela1[[#This Row],[Total em Romaneio]],Tabela1[[#This Row],[Saldo Despacho]])</f>
        <v>1495.7</v>
      </c>
      <c r="I20" s="9">
        <v>1495.7</v>
      </c>
      <c r="J20" s="10">
        <v>46192</v>
      </c>
      <c r="K20" s="2"/>
      <c r="L20" s="8">
        <f>Tabela1[[#This Row],[Saldo Pedido]]/Tabela1[[#This Row],[Total do Pedido]]</f>
        <v>0</v>
      </c>
      <c r="M20" s="8">
        <f>Tabela1[[#This Row],[Total Despachado]]/Tabela1[[#This Row],[Total do Pedido]]</f>
        <v>0</v>
      </c>
      <c r="N20" s="2">
        <v>46169</v>
      </c>
      <c r="O20" s="2">
        <v>46170</v>
      </c>
      <c r="P20" s="2"/>
      <c r="S20" s="1" t="s">
        <v>31</v>
      </c>
      <c r="T20" s="1" t="s">
        <v>38</v>
      </c>
      <c r="U20" s="1">
        <v>12</v>
      </c>
      <c r="V20" s="1" t="s">
        <v>33</v>
      </c>
      <c r="W20" s="1" t="s">
        <v>35</v>
      </c>
      <c r="X20" s="1" t="s">
        <v>42</v>
      </c>
      <c r="Y20" s="1" t="s">
        <v>37</v>
      </c>
      <c r="Z20" s="9">
        <v>1495.7</v>
      </c>
      <c r="AA20" s="9">
        <v>0</v>
      </c>
      <c r="AB20" s="9">
        <v>0</v>
      </c>
      <c r="AC20" s="9">
        <v>0</v>
      </c>
      <c r="AD20" s="9">
        <v>0</v>
      </c>
      <c r="AE20" s="9">
        <v>1495.7</v>
      </c>
      <c r="AF20" s="9">
        <v>0</v>
      </c>
      <c r="AG20" s="9">
        <v>1495.7</v>
      </c>
      <c r="AH20" s="9">
        <v>0</v>
      </c>
      <c r="AI20" s="9">
        <v>0</v>
      </c>
      <c r="AJ20" s="11">
        <v>1</v>
      </c>
    </row>
    <row r="21" spans="1:36" hidden="1" x14ac:dyDescent="0.3">
      <c r="A21" s="1" t="s">
        <v>55</v>
      </c>
      <c r="B21" s="1">
        <v>218366</v>
      </c>
      <c r="C21" s="1"/>
      <c r="D21" s="1" t="s">
        <v>56</v>
      </c>
      <c r="E21" s="7" t="s">
        <v>173</v>
      </c>
      <c r="F21" s="7" t="s">
        <v>174</v>
      </c>
      <c r="G21" s="8">
        <f>SUM(Tabela1[[#This Row],[Total em Romaneio]],Tabela1[[#This Row],[Saldo Despacho]])/Tabela1[[#This Row],[Total do Pedido]]</f>
        <v>1</v>
      </c>
      <c r="H21" s="42">
        <f>SUM(Tabela1[[#This Row],[Total em Romaneio]],Tabela1[[#This Row],[Saldo Despacho]])</f>
        <v>1404.72</v>
      </c>
      <c r="I21" s="9">
        <v>1404.72</v>
      </c>
      <c r="J21" s="10">
        <v>46175</v>
      </c>
      <c r="K21" s="2"/>
      <c r="L21" s="8">
        <f>Tabela1[[#This Row],[Saldo Pedido]]/Tabela1[[#This Row],[Total do Pedido]]</f>
        <v>0</v>
      </c>
      <c r="M21" s="8">
        <f>Tabela1[[#This Row],[Total Despachado]]/Tabela1[[#This Row],[Total do Pedido]]</f>
        <v>0</v>
      </c>
      <c r="N21" s="2">
        <v>46170</v>
      </c>
      <c r="O21" s="2">
        <v>46170</v>
      </c>
      <c r="P21" s="2"/>
      <c r="S21" s="1" t="s">
        <v>44</v>
      </c>
      <c r="T21" s="1" t="s">
        <v>38</v>
      </c>
      <c r="U21" s="1">
        <v>6</v>
      </c>
      <c r="V21" s="1" t="s">
        <v>39</v>
      </c>
      <c r="W21" s="1" t="s">
        <v>35</v>
      </c>
      <c r="X21" s="1" t="s">
        <v>42</v>
      </c>
      <c r="Y21" s="1" t="s">
        <v>37</v>
      </c>
      <c r="Z21" s="9">
        <v>1404.72</v>
      </c>
      <c r="AA21" s="9">
        <v>0</v>
      </c>
      <c r="AB21" s="9">
        <v>0</v>
      </c>
      <c r="AC21" s="9">
        <v>0</v>
      </c>
      <c r="AD21" s="9">
        <v>0</v>
      </c>
      <c r="AE21" s="9">
        <v>1404.72</v>
      </c>
      <c r="AF21" s="9">
        <v>0</v>
      </c>
      <c r="AG21" s="9">
        <v>1404.72</v>
      </c>
      <c r="AH21" s="9">
        <v>0</v>
      </c>
      <c r="AI21" s="9">
        <v>0</v>
      </c>
      <c r="AJ21" s="11">
        <v>1</v>
      </c>
    </row>
    <row r="22" spans="1:36" hidden="1" x14ac:dyDescent="0.3">
      <c r="A22" s="1" t="s">
        <v>135</v>
      </c>
      <c r="B22" s="1">
        <v>218393</v>
      </c>
      <c r="C22" s="1">
        <v>114395</v>
      </c>
      <c r="D22" s="1" t="s">
        <v>136</v>
      </c>
      <c r="E22" s="7" t="s">
        <v>63</v>
      </c>
      <c r="F22" s="7" t="s">
        <v>41</v>
      </c>
      <c r="G22" s="8">
        <f>SUM(Tabela1[[#This Row],[Total em Romaneio]],Tabela1[[#This Row],[Saldo Despacho]])/Tabela1[[#This Row],[Total do Pedido]]</f>
        <v>1</v>
      </c>
      <c r="H22" s="42">
        <f>SUM(Tabela1[[#This Row],[Total em Romaneio]],Tabela1[[#This Row],[Saldo Despacho]])</f>
        <v>1376.3</v>
      </c>
      <c r="I22" s="9">
        <v>1376.3</v>
      </c>
      <c r="J22" s="10">
        <v>46181</v>
      </c>
      <c r="K22" s="2"/>
      <c r="L22" s="8">
        <f>Tabela1[[#This Row],[Saldo Pedido]]/Tabela1[[#This Row],[Total do Pedido]]</f>
        <v>0</v>
      </c>
      <c r="M22" s="8">
        <f>Tabela1[[#This Row],[Total Despachado]]/Tabela1[[#This Row],[Total do Pedido]]</f>
        <v>0</v>
      </c>
      <c r="N22" s="2">
        <v>46171</v>
      </c>
      <c r="O22" s="2">
        <v>46171</v>
      </c>
      <c r="P22" s="2"/>
      <c r="S22" s="1" t="s">
        <v>48</v>
      </c>
      <c r="T22" s="1" t="s">
        <v>38</v>
      </c>
      <c r="U22" s="1">
        <v>12</v>
      </c>
      <c r="V22" s="1" t="s">
        <v>33</v>
      </c>
      <c r="W22" s="1" t="s">
        <v>35</v>
      </c>
      <c r="X22" s="1" t="s">
        <v>42</v>
      </c>
      <c r="Y22" s="1" t="s">
        <v>37</v>
      </c>
      <c r="Z22" s="9">
        <v>1376.3</v>
      </c>
      <c r="AA22" s="9">
        <v>0</v>
      </c>
      <c r="AB22" s="9">
        <v>0</v>
      </c>
      <c r="AC22" s="9">
        <v>0</v>
      </c>
      <c r="AD22" s="9">
        <v>0</v>
      </c>
      <c r="AE22" s="9">
        <v>1376.3</v>
      </c>
      <c r="AF22" s="9">
        <v>0</v>
      </c>
      <c r="AG22" s="9">
        <v>1376.3</v>
      </c>
      <c r="AH22" s="9">
        <v>0</v>
      </c>
      <c r="AI22" s="9">
        <v>0</v>
      </c>
      <c r="AJ22" s="11">
        <v>1</v>
      </c>
    </row>
    <row r="23" spans="1:36" x14ac:dyDescent="0.3">
      <c r="A23" s="1" t="s">
        <v>64</v>
      </c>
      <c r="B23" s="1">
        <v>218222</v>
      </c>
      <c r="C23" s="1"/>
      <c r="D23" s="1" t="s">
        <v>65</v>
      </c>
      <c r="E23" s="7" t="s">
        <v>57</v>
      </c>
      <c r="F23" s="7" t="s">
        <v>77</v>
      </c>
      <c r="G23" s="8">
        <f>SUM(Tabela1[[#This Row],[Total em Romaneio]],Tabela1[[#This Row],[Saldo Despacho]])/Tabela1[[#This Row],[Total do Pedido]]</f>
        <v>1</v>
      </c>
      <c r="H23" s="42">
        <f>SUM(Tabela1[[#This Row],[Total em Romaneio]],Tabela1[[#This Row],[Saldo Despacho]])</f>
        <v>1103.29</v>
      </c>
      <c r="I23" s="9">
        <v>1103.29</v>
      </c>
      <c r="J23" s="10">
        <v>46178</v>
      </c>
      <c r="K23" s="2"/>
      <c r="L23" s="8">
        <f>Tabela1[[#This Row],[Saldo Pedido]]/Tabela1[[#This Row],[Total do Pedido]]</f>
        <v>0</v>
      </c>
      <c r="M23" s="8">
        <f>Tabela1[[#This Row],[Total Despachado]]/Tabela1[[#This Row],[Total do Pedido]]</f>
        <v>0</v>
      </c>
      <c r="N23" s="2">
        <v>46164</v>
      </c>
      <c r="O23" s="2">
        <v>46167</v>
      </c>
      <c r="P23" s="2"/>
      <c r="Q23" s="10">
        <v>46171</v>
      </c>
      <c r="R23" s="10">
        <v>46171</v>
      </c>
      <c r="S23" s="1" t="s">
        <v>66</v>
      </c>
      <c r="T23" s="1" t="s">
        <v>32</v>
      </c>
      <c r="U23" s="1">
        <v>12</v>
      </c>
      <c r="V23" s="1" t="s">
        <v>39</v>
      </c>
      <c r="W23" s="1" t="s">
        <v>35</v>
      </c>
      <c r="X23" s="1" t="s">
        <v>52</v>
      </c>
      <c r="Y23" s="1" t="s">
        <v>37</v>
      </c>
      <c r="Z23" s="9">
        <v>1103.29</v>
      </c>
      <c r="AA23" s="9">
        <v>0</v>
      </c>
      <c r="AB23" s="9">
        <v>235.8</v>
      </c>
      <c r="AC23" s="9">
        <v>235.8</v>
      </c>
      <c r="AD23" s="9">
        <v>0</v>
      </c>
      <c r="AE23" s="9">
        <v>1103.29</v>
      </c>
      <c r="AF23" s="9">
        <v>0</v>
      </c>
      <c r="AG23" s="9">
        <v>1103.29</v>
      </c>
      <c r="AH23" s="9">
        <v>0</v>
      </c>
      <c r="AI23" s="9">
        <v>0</v>
      </c>
      <c r="AJ23" s="11">
        <v>1</v>
      </c>
    </row>
    <row r="24" spans="1:36" hidden="1" x14ac:dyDescent="0.3">
      <c r="A24" s="1" t="s">
        <v>55</v>
      </c>
      <c r="B24" s="1">
        <v>218372</v>
      </c>
      <c r="C24" s="1"/>
      <c r="D24" s="1" t="s">
        <v>56</v>
      </c>
      <c r="E24" s="7" t="s">
        <v>45</v>
      </c>
      <c r="F24" s="7" t="s">
        <v>175</v>
      </c>
      <c r="G24" s="8">
        <f>SUM(Tabela1[[#This Row],[Total em Romaneio]],Tabela1[[#This Row],[Saldo Despacho]])/Tabela1[[#This Row],[Total do Pedido]]</f>
        <v>1</v>
      </c>
      <c r="H24" s="42">
        <f>SUM(Tabela1[[#This Row],[Total em Romaneio]],Tabela1[[#This Row],[Saldo Despacho]])</f>
        <v>860.11</v>
      </c>
      <c r="I24" s="9">
        <v>860.11</v>
      </c>
      <c r="J24" s="10">
        <v>46175</v>
      </c>
      <c r="K24" s="2"/>
      <c r="L24" s="8">
        <f>Tabela1[[#This Row],[Saldo Pedido]]/Tabela1[[#This Row],[Total do Pedido]]</f>
        <v>0</v>
      </c>
      <c r="M24" s="8">
        <f>Tabela1[[#This Row],[Total Despachado]]/Tabela1[[#This Row],[Total do Pedido]]</f>
        <v>0</v>
      </c>
      <c r="N24" s="2">
        <v>46170</v>
      </c>
      <c r="O24" s="2">
        <v>46170</v>
      </c>
      <c r="P24" s="2"/>
      <c r="S24" s="1" t="s">
        <v>44</v>
      </c>
      <c r="T24" s="1" t="s">
        <v>38</v>
      </c>
      <c r="U24" s="1">
        <v>6</v>
      </c>
      <c r="V24" s="1" t="s">
        <v>39</v>
      </c>
      <c r="W24" s="1" t="s">
        <v>35</v>
      </c>
      <c r="X24" s="1" t="s">
        <v>42</v>
      </c>
      <c r="Y24" s="1" t="s">
        <v>37</v>
      </c>
      <c r="Z24" s="9">
        <v>860.11</v>
      </c>
      <c r="AA24" s="9">
        <v>0</v>
      </c>
      <c r="AB24" s="9">
        <v>0</v>
      </c>
      <c r="AC24" s="9">
        <v>0</v>
      </c>
      <c r="AD24" s="9">
        <v>0</v>
      </c>
      <c r="AE24" s="9">
        <v>860.11</v>
      </c>
      <c r="AF24" s="9">
        <v>0</v>
      </c>
      <c r="AG24" s="9">
        <v>860.11</v>
      </c>
      <c r="AH24" s="9">
        <v>0</v>
      </c>
      <c r="AI24" s="9">
        <v>0</v>
      </c>
      <c r="AJ24" s="11">
        <v>1</v>
      </c>
    </row>
    <row r="25" spans="1:36" hidden="1" x14ac:dyDescent="0.3">
      <c r="A25" s="1" t="s">
        <v>145</v>
      </c>
      <c r="B25" s="1">
        <v>218020</v>
      </c>
      <c r="C25" s="1"/>
      <c r="D25" s="1" t="s">
        <v>56</v>
      </c>
      <c r="E25" s="7" t="s">
        <v>71</v>
      </c>
      <c r="F25" s="7" t="s">
        <v>143</v>
      </c>
      <c r="G25" s="8">
        <f>SUM(Tabela1[[#This Row],[Total em Romaneio]],Tabela1[[#This Row],[Saldo Despacho]])/Tabela1[[#This Row],[Total do Pedido]]</f>
        <v>1</v>
      </c>
      <c r="H25" s="42">
        <f>SUM(Tabela1[[#This Row],[Total em Romaneio]],Tabela1[[#This Row],[Saldo Despacho]])</f>
        <v>729</v>
      </c>
      <c r="I25" s="9">
        <v>729</v>
      </c>
      <c r="J25" s="10">
        <v>46157</v>
      </c>
      <c r="K25" s="2"/>
      <c r="L25" s="8">
        <f>Tabela1[[#This Row],[Saldo Pedido]]/Tabela1[[#This Row],[Total do Pedido]]</f>
        <v>0</v>
      </c>
      <c r="M25" s="8">
        <f>Tabela1[[#This Row],[Total Despachado]]/Tabela1[[#This Row],[Total do Pedido]]</f>
        <v>0</v>
      </c>
      <c r="N25" s="2">
        <v>46157</v>
      </c>
      <c r="O25" s="2">
        <v>46157</v>
      </c>
      <c r="P25" s="2"/>
      <c r="S25" s="1" t="s">
        <v>44</v>
      </c>
      <c r="T25" s="1" t="s">
        <v>115</v>
      </c>
      <c r="U25" s="1">
        <v>208</v>
      </c>
      <c r="V25" s="1" t="s">
        <v>39</v>
      </c>
      <c r="W25" s="1" t="s">
        <v>35</v>
      </c>
      <c r="X25" s="1" t="s">
        <v>42</v>
      </c>
      <c r="Y25" s="1" t="s">
        <v>37</v>
      </c>
      <c r="Z25" s="9">
        <v>729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729</v>
      </c>
      <c r="AG25" s="9">
        <v>0</v>
      </c>
      <c r="AH25" s="9">
        <v>0</v>
      </c>
      <c r="AI25" s="9">
        <v>729</v>
      </c>
      <c r="AJ25" s="11">
        <v>1</v>
      </c>
    </row>
    <row r="26" spans="1:36" x14ac:dyDescent="0.3">
      <c r="A26" s="1" t="s">
        <v>64</v>
      </c>
      <c r="B26" s="1">
        <v>218390</v>
      </c>
      <c r="C26" s="1">
        <v>114394</v>
      </c>
      <c r="D26" s="1" t="s">
        <v>65</v>
      </c>
      <c r="E26" s="7" t="s">
        <v>34</v>
      </c>
      <c r="F26" s="7" t="s">
        <v>176</v>
      </c>
      <c r="G26" s="8">
        <f>SUM(Tabela1[[#This Row],[Total em Romaneio]],Tabela1[[#This Row],[Saldo Despacho]])/Tabela1[[#This Row],[Total do Pedido]]</f>
        <v>1</v>
      </c>
      <c r="H26" s="42">
        <f>SUM(Tabela1[[#This Row],[Total em Romaneio]],Tabela1[[#This Row],[Saldo Despacho]])</f>
        <v>659.06</v>
      </c>
      <c r="I26" s="9">
        <v>659.06</v>
      </c>
      <c r="J26" s="10">
        <v>46181</v>
      </c>
      <c r="K26" s="2"/>
      <c r="L26" s="8">
        <f>Tabela1[[#This Row],[Saldo Pedido]]/Tabela1[[#This Row],[Total do Pedido]]</f>
        <v>0</v>
      </c>
      <c r="M26" s="8">
        <f>Tabela1[[#This Row],[Total Despachado]]/Tabela1[[#This Row],[Total do Pedido]]</f>
        <v>0</v>
      </c>
      <c r="N26" s="2">
        <v>46171</v>
      </c>
      <c r="O26" s="2">
        <v>46171</v>
      </c>
      <c r="P26" s="2"/>
      <c r="S26" s="1" t="s">
        <v>66</v>
      </c>
      <c r="T26" s="1" t="s">
        <v>32</v>
      </c>
      <c r="U26" s="1">
        <v>12</v>
      </c>
      <c r="V26" s="1" t="s">
        <v>33</v>
      </c>
      <c r="W26" s="1" t="s">
        <v>35</v>
      </c>
      <c r="X26" s="1" t="s">
        <v>42</v>
      </c>
      <c r="Y26" s="1" t="s">
        <v>37</v>
      </c>
      <c r="Z26" s="9">
        <v>659.06</v>
      </c>
      <c r="AA26" s="9">
        <v>0</v>
      </c>
      <c r="AB26" s="9">
        <v>0</v>
      </c>
      <c r="AC26" s="9">
        <v>0</v>
      </c>
      <c r="AD26" s="9">
        <v>0</v>
      </c>
      <c r="AE26" s="9">
        <v>659.06</v>
      </c>
      <c r="AF26" s="9">
        <v>0</v>
      </c>
      <c r="AG26" s="9">
        <v>659.06</v>
      </c>
      <c r="AH26" s="9">
        <v>0</v>
      </c>
      <c r="AI26" s="9">
        <v>0</v>
      </c>
      <c r="AJ26" s="11">
        <v>1</v>
      </c>
    </row>
    <row r="27" spans="1:36" hidden="1" x14ac:dyDescent="0.3">
      <c r="A27" s="1" t="s">
        <v>59</v>
      </c>
      <c r="B27" s="1">
        <v>218376</v>
      </c>
      <c r="C27" s="1">
        <v>114225</v>
      </c>
      <c r="D27" s="1" t="s">
        <v>60</v>
      </c>
      <c r="E27" s="7" t="s">
        <v>34</v>
      </c>
      <c r="F27" s="7" t="s">
        <v>137</v>
      </c>
      <c r="G27" s="8">
        <f>SUM(Tabela1[[#This Row],[Total em Romaneio]],Tabela1[[#This Row],[Saldo Despacho]])/Tabela1[[#This Row],[Total do Pedido]]</f>
        <v>1</v>
      </c>
      <c r="H27" s="42">
        <f>SUM(Tabela1[[#This Row],[Total em Romaneio]],Tabela1[[#This Row],[Saldo Despacho]])</f>
        <v>540</v>
      </c>
      <c r="I27" s="9">
        <v>540</v>
      </c>
      <c r="J27" s="10">
        <v>46174</v>
      </c>
      <c r="K27" s="2"/>
      <c r="L27" s="8">
        <f>Tabela1[[#This Row],[Saldo Pedido]]/Tabela1[[#This Row],[Total do Pedido]]</f>
        <v>0</v>
      </c>
      <c r="M27" s="8">
        <f>Tabela1[[#This Row],[Total Despachado]]/Tabela1[[#This Row],[Total do Pedido]]</f>
        <v>0</v>
      </c>
      <c r="N27" s="2">
        <v>46171</v>
      </c>
      <c r="O27" s="2">
        <v>46171</v>
      </c>
      <c r="P27" s="2"/>
      <c r="S27" s="1" t="s">
        <v>31</v>
      </c>
      <c r="T27" s="1" t="s">
        <v>32</v>
      </c>
      <c r="U27" s="1">
        <v>12</v>
      </c>
      <c r="V27" s="1" t="s">
        <v>33</v>
      </c>
      <c r="W27" s="1" t="s">
        <v>35</v>
      </c>
      <c r="X27" s="1" t="s">
        <v>42</v>
      </c>
      <c r="Y27" s="1" t="s">
        <v>37</v>
      </c>
      <c r="Z27" s="9">
        <v>540</v>
      </c>
      <c r="AA27" s="9">
        <v>0</v>
      </c>
      <c r="AB27" s="9">
        <v>0</v>
      </c>
      <c r="AC27" s="9">
        <v>0</v>
      </c>
      <c r="AD27" s="9">
        <v>0</v>
      </c>
      <c r="AE27" s="9">
        <v>540</v>
      </c>
      <c r="AF27" s="9">
        <v>0</v>
      </c>
      <c r="AG27" s="9">
        <v>540</v>
      </c>
      <c r="AH27" s="9">
        <v>0</v>
      </c>
      <c r="AI27" s="9">
        <v>0</v>
      </c>
      <c r="AJ27" s="11">
        <v>1</v>
      </c>
    </row>
    <row r="28" spans="1:36" hidden="1" x14ac:dyDescent="0.3">
      <c r="A28" s="1" t="s">
        <v>59</v>
      </c>
      <c r="B28" s="1">
        <v>218101</v>
      </c>
      <c r="C28" s="1">
        <v>114225</v>
      </c>
      <c r="D28" s="1" t="s">
        <v>60</v>
      </c>
      <c r="E28" s="7" t="s">
        <v>34</v>
      </c>
      <c r="F28" s="7" t="s">
        <v>137</v>
      </c>
      <c r="G28" s="8">
        <f>SUM(Tabela1[[#This Row],[Total em Romaneio]],Tabela1[[#This Row],[Saldo Despacho]])/Tabela1[[#This Row],[Total do Pedido]]</f>
        <v>1</v>
      </c>
      <c r="H28" s="42">
        <f>SUM(Tabela1[[#This Row],[Total em Romaneio]],Tabela1[[#This Row],[Saldo Despacho]])</f>
        <v>473.68</v>
      </c>
      <c r="I28" s="9">
        <v>473.68</v>
      </c>
      <c r="J28" s="10">
        <v>46171</v>
      </c>
      <c r="K28" s="2"/>
      <c r="L28" s="8">
        <f>Tabela1[[#This Row],[Saldo Pedido]]/Tabela1[[#This Row],[Total do Pedido]]</f>
        <v>0</v>
      </c>
      <c r="M28" s="8">
        <f>Tabela1[[#This Row],[Total Despachado]]/Tabela1[[#This Row],[Total do Pedido]]</f>
        <v>0</v>
      </c>
      <c r="N28" s="2">
        <v>46161</v>
      </c>
      <c r="O28" s="2">
        <v>46161</v>
      </c>
      <c r="P28" s="2"/>
      <c r="S28" s="1" t="s">
        <v>31</v>
      </c>
      <c r="T28" s="1" t="s">
        <v>38</v>
      </c>
      <c r="U28" s="1">
        <v>12</v>
      </c>
      <c r="V28" s="1" t="s">
        <v>33</v>
      </c>
      <c r="W28" s="1" t="s">
        <v>35</v>
      </c>
      <c r="X28" s="1" t="s">
        <v>42</v>
      </c>
      <c r="Y28" s="1" t="s">
        <v>37</v>
      </c>
      <c r="Z28" s="9">
        <v>473.68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473.68</v>
      </c>
      <c r="AG28" s="9">
        <v>0</v>
      </c>
      <c r="AH28" s="9">
        <v>0</v>
      </c>
      <c r="AI28" s="9">
        <v>473.68</v>
      </c>
      <c r="AJ28" s="11">
        <v>1</v>
      </c>
    </row>
    <row r="29" spans="1:36" hidden="1" x14ac:dyDescent="0.3">
      <c r="A29" s="1" t="s">
        <v>153</v>
      </c>
      <c r="B29" s="1">
        <v>218170</v>
      </c>
      <c r="C29" s="1"/>
      <c r="D29" s="1" t="s">
        <v>56</v>
      </c>
      <c r="E29" s="7" t="s">
        <v>57</v>
      </c>
      <c r="F29" s="7" t="s">
        <v>146</v>
      </c>
      <c r="G29" s="8">
        <f>SUM(Tabela1[[#This Row],[Total em Romaneio]],Tabela1[[#This Row],[Saldo Despacho]])/Tabela1[[#This Row],[Total do Pedido]]</f>
        <v>1</v>
      </c>
      <c r="H29" s="42">
        <f>SUM(Tabela1[[#This Row],[Total em Romaneio]],Tabela1[[#This Row],[Saldo Despacho]])</f>
        <v>456.98</v>
      </c>
      <c r="I29" s="9">
        <v>456.98</v>
      </c>
      <c r="J29" s="10">
        <v>46178</v>
      </c>
      <c r="K29" s="2"/>
      <c r="L29" s="8">
        <f>Tabela1[[#This Row],[Saldo Pedido]]/Tabela1[[#This Row],[Total do Pedido]]</f>
        <v>0</v>
      </c>
      <c r="M29" s="8">
        <f>Tabela1[[#This Row],[Total Despachado]]/Tabela1[[#This Row],[Total do Pedido]]</f>
        <v>0</v>
      </c>
      <c r="N29" s="2">
        <v>46163</v>
      </c>
      <c r="O29" s="2">
        <v>46163</v>
      </c>
      <c r="P29" s="2"/>
      <c r="S29" s="1" t="s">
        <v>44</v>
      </c>
      <c r="T29" s="1" t="s">
        <v>32</v>
      </c>
      <c r="U29" s="1">
        <v>191</v>
      </c>
      <c r="V29" s="1" t="s">
        <v>39</v>
      </c>
      <c r="W29" s="1" t="s">
        <v>35</v>
      </c>
      <c r="X29" s="1" t="s">
        <v>42</v>
      </c>
      <c r="Y29" s="1" t="s">
        <v>37</v>
      </c>
      <c r="Z29" s="9">
        <v>456.98</v>
      </c>
      <c r="AA29" s="9">
        <v>0</v>
      </c>
      <c r="AB29" s="9">
        <v>0</v>
      </c>
      <c r="AC29" s="9">
        <v>0</v>
      </c>
      <c r="AD29" s="9">
        <v>0</v>
      </c>
      <c r="AE29" s="9">
        <v>456.98</v>
      </c>
      <c r="AF29" s="9">
        <v>0</v>
      </c>
      <c r="AG29" s="9">
        <v>456.98</v>
      </c>
      <c r="AH29" s="9">
        <v>0</v>
      </c>
      <c r="AI29" s="9">
        <v>0</v>
      </c>
      <c r="AJ29" s="11">
        <v>1</v>
      </c>
    </row>
    <row r="30" spans="1:36" hidden="1" x14ac:dyDescent="0.3">
      <c r="A30" s="1" t="s">
        <v>135</v>
      </c>
      <c r="B30" s="1">
        <v>218402</v>
      </c>
      <c r="C30" s="1">
        <v>114399</v>
      </c>
      <c r="D30" s="1" t="s">
        <v>136</v>
      </c>
      <c r="E30" s="7" t="s">
        <v>63</v>
      </c>
      <c r="F30" s="7" t="s">
        <v>41</v>
      </c>
      <c r="G30" s="8">
        <f>SUM(Tabela1[[#This Row],[Total em Romaneio]],Tabela1[[#This Row],[Saldo Despacho]])/Tabela1[[#This Row],[Total do Pedido]]</f>
        <v>1</v>
      </c>
      <c r="H30" s="42">
        <f>SUM(Tabela1[[#This Row],[Total em Romaneio]],Tabela1[[#This Row],[Saldo Despacho]])</f>
        <v>378.25</v>
      </c>
      <c r="I30" s="9">
        <v>378.25</v>
      </c>
      <c r="J30" s="10">
        <v>46181</v>
      </c>
      <c r="K30" s="2"/>
      <c r="L30" s="8">
        <f>Tabela1[[#This Row],[Saldo Pedido]]/Tabela1[[#This Row],[Total do Pedido]]</f>
        <v>0</v>
      </c>
      <c r="M30" s="8">
        <f>Tabela1[[#This Row],[Total Despachado]]/Tabela1[[#This Row],[Total do Pedido]]</f>
        <v>0</v>
      </c>
      <c r="N30" s="2">
        <v>46171</v>
      </c>
      <c r="O30" s="2">
        <v>46171</v>
      </c>
      <c r="P30" s="2"/>
      <c r="S30" s="1" t="s">
        <v>48</v>
      </c>
      <c r="T30" s="1" t="s">
        <v>38</v>
      </c>
      <c r="U30" s="1">
        <v>12</v>
      </c>
      <c r="V30" s="1" t="s">
        <v>33</v>
      </c>
      <c r="W30" s="1" t="s">
        <v>35</v>
      </c>
      <c r="X30" s="1" t="s">
        <v>42</v>
      </c>
      <c r="Y30" s="1" t="s">
        <v>37</v>
      </c>
      <c r="Z30" s="9">
        <v>378.25</v>
      </c>
      <c r="AA30" s="9">
        <v>0</v>
      </c>
      <c r="AB30" s="9">
        <v>0</v>
      </c>
      <c r="AC30" s="9">
        <v>0</v>
      </c>
      <c r="AD30" s="9">
        <v>0</v>
      </c>
      <c r="AE30" s="9">
        <v>378.25</v>
      </c>
      <c r="AF30" s="9">
        <v>0</v>
      </c>
      <c r="AG30" s="9">
        <v>378.25</v>
      </c>
      <c r="AH30" s="9">
        <v>0</v>
      </c>
      <c r="AI30" s="9">
        <v>0</v>
      </c>
      <c r="AJ30" s="11">
        <v>1</v>
      </c>
    </row>
    <row r="31" spans="1:36" hidden="1" x14ac:dyDescent="0.3">
      <c r="A31" s="1" t="s">
        <v>135</v>
      </c>
      <c r="B31" s="1">
        <v>218404</v>
      </c>
      <c r="C31" s="1">
        <v>114400</v>
      </c>
      <c r="D31" s="1" t="s">
        <v>136</v>
      </c>
      <c r="E31" s="7" t="s">
        <v>63</v>
      </c>
      <c r="F31" s="7" t="s">
        <v>41</v>
      </c>
      <c r="G31" s="8">
        <f>SUM(Tabela1[[#This Row],[Total em Romaneio]],Tabela1[[#This Row],[Saldo Despacho]])/Tabela1[[#This Row],[Total do Pedido]]</f>
        <v>1</v>
      </c>
      <c r="H31" s="42">
        <f>SUM(Tabela1[[#This Row],[Total em Romaneio]],Tabela1[[#This Row],[Saldo Despacho]])</f>
        <v>355.45</v>
      </c>
      <c r="I31" s="9">
        <v>355.45</v>
      </c>
      <c r="J31" s="10">
        <v>46181</v>
      </c>
      <c r="K31" s="2"/>
      <c r="L31" s="8">
        <f>Tabela1[[#This Row],[Saldo Pedido]]/Tabela1[[#This Row],[Total do Pedido]]</f>
        <v>0</v>
      </c>
      <c r="M31" s="8">
        <f>Tabela1[[#This Row],[Total Despachado]]/Tabela1[[#This Row],[Total do Pedido]]</f>
        <v>0</v>
      </c>
      <c r="N31" s="2">
        <v>46171</v>
      </c>
      <c r="O31" s="2">
        <v>46171</v>
      </c>
      <c r="P31" s="2"/>
      <c r="S31" s="1" t="s">
        <v>48</v>
      </c>
      <c r="T31" s="1" t="s">
        <v>38</v>
      </c>
      <c r="U31" s="1">
        <v>12</v>
      </c>
      <c r="V31" s="1" t="s">
        <v>33</v>
      </c>
      <c r="W31" s="1" t="s">
        <v>35</v>
      </c>
      <c r="X31" s="1" t="s">
        <v>42</v>
      </c>
      <c r="Y31" s="1" t="s">
        <v>37</v>
      </c>
      <c r="Z31" s="9">
        <v>355.45</v>
      </c>
      <c r="AA31" s="9">
        <v>0</v>
      </c>
      <c r="AB31" s="9">
        <v>0</v>
      </c>
      <c r="AC31" s="9">
        <v>0</v>
      </c>
      <c r="AD31" s="9">
        <v>0</v>
      </c>
      <c r="AE31" s="9">
        <v>355.45</v>
      </c>
      <c r="AF31" s="9">
        <v>0</v>
      </c>
      <c r="AG31" s="9">
        <v>355.45</v>
      </c>
      <c r="AH31" s="9">
        <v>0</v>
      </c>
      <c r="AI31" s="9">
        <v>0</v>
      </c>
      <c r="AJ31" s="11">
        <v>1</v>
      </c>
    </row>
    <row r="32" spans="1:36" hidden="1" x14ac:dyDescent="0.3">
      <c r="A32" s="1" t="s">
        <v>74</v>
      </c>
      <c r="B32" s="1">
        <v>218293</v>
      </c>
      <c r="C32" s="1">
        <v>114260</v>
      </c>
      <c r="D32" s="1" t="s">
        <v>75</v>
      </c>
      <c r="E32" s="7" t="s">
        <v>34</v>
      </c>
      <c r="F32" s="7" t="s">
        <v>150</v>
      </c>
      <c r="G32" s="8">
        <f>SUM(Tabela1[[#This Row],[Total em Romaneio]],Tabela1[[#This Row],[Saldo Despacho]])/Tabela1[[#This Row],[Total do Pedido]]</f>
        <v>1</v>
      </c>
      <c r="H32" s="42">
        <f>SUM(Tabela1[[#This Row],[Total em Romaneio]],Tabela1[[#This Row],[Saldo Despacho]])</f>
        <v>315.2</v>
      </c>
      <c r="I32" s="9">
        <v>315.2</v>
      </c>
      <c r="J32" s="10">
        <v>46174</v>
      </c>
      <c r="K32" s="2"/>
      <c r="L32" s="8">
        <f>Tabela1[[#This Row],[Saldo Pedido]]/Tabela1[[#This Row],[Total do Pedido]]</f>
        <v>0</v>
      </c>
      <c r="M32" s="8">
        <f>Tabela1[[#This Row],[Total Despachado]]/Tabela1[[#This Row],[Total do Pedido]]</f>
        <v>0</v>
      </c>
      <c r="N32" s="2">
        <v>46169</v>
      </c>
      <c r="O32" s="2">
        <v>46169</v>
      </c>
      <c r="P32" s="2"/>
      <c r="Q32" s="10">
        <v>46169</v>
      </c>
      <c r="R32" s="10">
        <v>46171</v>
      </c>
      <c r="S32" s="1" t="s">
        <v>31</v>
      </c>
      <c r="T32" s="1" t="s">
        <v>38</v>
      </c>
      <c r="U32" s="1">
        <v>12</v>
      </c>
      <c r="V32" s="1" t="s">
        <v>33</v>
      </c>
      <c r="W32" s="1" t="s">
        <v>35</v>
      </c>
      <c r="X32" s="1" t="s">
        <v>51</v>
      </c>
      <c r="Y32" s="1" t="s">
        <v>37</v>
      </c>
      <c r="Z32" s="9">
        <v>315.2</v>
      </c>
      <c r="AA32" s="9">
        <v>0</v>
      </c>
      <c r="AB32" s="9">
        <v>156.80000000000001</v>
      </c>
      <c r="AC32" s="9">
        <v>156.80000000000001</v>
      </c>
      <c r="AD32" s="9">
        <v>0</v>
      </c>
      <c r="AE32" s="9">
        <v>0</v>
      </c>
      <c r="AF32" s="9">
        <v>315.2</v>
      </c>
      <c r="AG32" s="9">
        <v>0</v>
      </c>
      <c r="AH32" s="9">
        <v>0</v>
      </c>
      <c r="AI32" s="9">
        <v>315.2</v>
      </c>
      <c r="AJ32" s="11">
        <v>1</v>
      </c>
    </row>
    <row r="33" spans="1:36" hidden="1" x14ac:dyDescent="0.3">
      <c r="A33" s="1" t="s">
        <v>116</v>
      </c>
      <c r="B33" s="1">
        <v>217799</v>
      </c>
      <c r="C33" s="1"/>
      <c r="D33" s="1" t="s">
        <v>113</v>
      </c>
      <c r="E33" s="7" t="s">
        <v>45</v>
      </c>
      <c r="F33" s="7" t="s">
        <v>114</v>
      </c>
      <c r="G33" s="8">
        <f>SUM(Tabela1[[#This Row],[Total em Romaneio]],Tabela1[[#This Row],[Saldo Despacho]])/Tabela1[[#This Row],[Total do Pedido]]</f>
        <v>1</v>
      </c>
      <c r="H33" s="42">
        <f>SUM(Tabela1[[#This Row],[Total em Romaneio]],Tabela1[[#This Row],[Saldo Despacho]])</f>
        <v>303.60000000000002</v>
      </c>
      <c r="I33" s="9">
        <v>303.60000000000002</v>
      </c>
      <c r="J33" s="10">
        <v>46158</v>
      </c>
      <c r="K33" s="2"/>
      <c r="L33" s="8">
        <f>Tabela1[[#This Row],[Saldo Pedido]]/Tabela1[[#This Row],[Total do Pedido]]</f>
        <v>0</v>
      </c>
      <c r="M33" s="8">
        <f>Tabela1[[#This Row],[Total Despachado]]/Tabela1[[#This Row],[Total do Pedido]]</f>
        <v>0</v>
      </c>
      <c r="N33" s="2">
        <v>46148</v>
      </c>
      <c r="O33" s="2">
        <v>46148</v>
      </c>
      <c r="P33" s="2"/>
      <c r="Q33" s="10">
        <v>46149</v>
      </c>
      <c r="S33" s="1" t="s">
        <v>44</v>
      </c>
      <c r="T33" s="1" t="s">
        <v>115</v>
      </c>
      <c r="U33" s="1">
        <v>191</v>
      </c>
      <c r="V33" s="1" t="s">
        <v>114</v>
      </c>
      <c r="W33" s="1" t="s">
        <v>35</v>
      </c>
      <c r="X33" s="1" t="s">
        <v>51</v>
      </c>
      <c r="Y33" s="1" t="s">
        <v>37</v>
      </c>
      <c r="Z33" s="9">
        <v>303.60000000000002</v>
      </c>
      <c r="AA33" s="9">
        <v>0</v>
      </c>
      <c r="AB33" s="9">
        <v>357.42</v>
      </c>
      <c r="AC33" s="9">
        <v>357.42</v>
      </c>
      <c r="AD33" s="9">
        <v>0</v>
      </c>
      <c r="AE33" s="9">
        <v>0</v>
      </c>
      <c r="AF33" s="9">
        <v>303.60000000000002</v>
      </c>
      <c r="AG33" s="9">
        <v>0</v>
      </c>
      <c r="AH33" s="9">
        <v>0</v>
      </c>
      <c r="AI33" s="9">
        <v>303.60000000000002</v>
      </c>
      <c r="AJ33" s="11">
        <v>1</v>
      </c>
    </row>
    <row r="34" spans="1:36" hidden="1" x14ac:dyDescent="0.3">
      <c r="A34" s="1" t="s">
        <v>55</v>
      </c>
      <c r="B34" s="1">
        <v>218163</v>
      </c>
      <c r="C34" s="1"/>
      <c r="D34" s="1" t="s">
        <v>56</v>
      </c>
      <c r="E34" s="7" t="s">
        <v>57</v>
      </c>
      <c r="F34" s="7" t="s">
        <v>146</v>
      </c>
      <c r="G34" s="8">
        <f>SUM(Tabela1[[#This Row],[Total em Romaneio]],Tabela1[[#This Row],[Saldo Despacho]])/Tabela1[[#This Row],[Total do Pedido]]</f>
        <v>1</v>
      </c>
      <c r="H34" s="42">
        <f>SUM(Tabela1[[#This Row],[Total em Romaneio]],Tabela1[[#This Row],[Saldo Despacho]])</f>
        <v>291.89999999999998</v>
      </c>
      <c r="I34" s="9">
        <v>291.89999999999998</v>
      </c>
      <c r="J34" s="10">
        <v>46178</v>
      </c>
      <c r="K34" s="2"/>
      <c r="L34" s="8">
        <f>Tabela1[[#This Row],[Saldo Pedido]]/Tabela1[[#This Row],[Total do Pedido]]</f>
        <v>0</v>
      </c>
      <c r="M34" s="8">
        <f>Tabela1[[#This Row],[Total Despachado]]/Tabela1[[#This Row],[Total do Pedido]]</f>
        <v>0</v>
      </c>
      <c r="N34" s="2">
        <v>46163</v>
      </c>
      <c r="O34" s="2">
        <v>46163</v>
      </c>
      <c r="P34" s="2"/>
      <c r="S34" s="1" t="s">
        <v>44</v>
      </c>
      <c r="T34" s="1" t="s">
        <v>32</v>
      </c>
      <c r="U34" s="1">
        <v>191</v>
      </c>
      <c r="V34" s="1" t="s">
        <v>39</v>
      </c>
      <c r="W34" s="1" t="s">
        <v>35</v>
      </c>
      <c r="X34" s="1" t="s">
        <v>42</v>
      </c>
      <c r="Y34" s="1" t="s">
        <v>37</v>
      </c>
      <c r="Z34" s="9">
        <v>291.89999999999998</v>
      </c>
      <c r="AA34" s="9">
        <v>0</v>
      </c>
      <c r="AB34" s="9">
        <v>0</v>
      </c>
      <c r="AC34" s="9">
        <v>0</v>
      </c>
      <c r="AD34" s="9">
        <v>0</v>
      </c>
      <c r="AE34" s="9">
        <v>291.89999999999998</v>
      </c>
      <c r="AF34" s="9">
        <v>0</v>
      </c>
      <c r="AG34" s="9">
        <v>291.89999999999998</v>
      </c>
      <c r="AH34" s="9">
        <v>0</v>
      </c>
      <c r="AI34" s="9">
        <v>0</v>
      </c>
      <c r="AJ34" s="11">
        <v>1</v>
      </c>
    </row>
    <row r="35" spans="1:36" hidden="1" x14ac:dyDescent="0.3">
      <c r="A35" s="1" t="s">
        <v>122</v>
      </c>
      <c r="B35" s="1">
        <v>217253</v>
      </c>
      <c r="C35" s="1"/>
      <c r="D35" s="1" t="s">
        <v>123</v>
      </c>
      <c r="E35" s="7" t="s">
        <v>45</v>
      </c>
      <c r="F35" s="7" t="s">
        <v>87</v>
      </c>
      <c r="G35" s="8">
        <f>SUM(Tabela1[[#This Row],[Total em Romaneio]],Tabela1[[#This Row],[Saldo Despacho]])/Tabela1[[#This Row],[Total do Pedido]]</f>
        <v>1</v>
      </c>
      <c r="H35" s="42">
        <f>SUM(Tabela1[[#This Row],[Total em Romaneio]],Tabela1[[#This Row],[Saldo Despacho]])</f>
        <v>243.6</v>
      </c>
      <c r="I35" s="9">
        <v>243.6</v>
      </c>
      <c r="J35" s="10">
        <v>46142</v>
      </c>
      <c r="K35" s="2"/>
      <c r="L35" s="8">
        <f>Tabela1[[#This Row],[Saldo Pedido]]/Tabela1[[#This Row],[Total do Pedido]]</f>
        <v>0</v>
      </c>
      <c r="M35" s="8">
        <f>Tabela1[[#This Row],[Total Despachado]]/Tabela1[[#This Row],[Total do Pedido]]</f>
        <v>0</v>
      </c>
      <c r="N35" s="2">
        <v>46132</v>
      </c>
      <c r="O35" s="2">
        <v>46134</v>
      </c>
      <c r="P35" s="2"/>
      <c r="S35" s="1" t="s">
        <v>44</v>
      </c>
      <c r="T35" s="1" t="s">
        <v>115</v>
      </c>
      <c r="U35" s="1">
        <v>12</v>
      </c>
      <c r="V35" s="1" t="s">
        <v>39</v>
      </c>
      <c r="W35" s="1" t="s">
        <v>35</v>
      </c>
      <c r="X35" s="1" t="s">
        <v>42</v>
      </c>
      <c r="Y35" s="1" t="s">
        <v>37</v>
      </c>
      <c r="Z35" s="9">
        <v>243.6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243.6</v>
      </c>
      <c r="AG35" s="9">
        <v>0</v>
      </c>
      <c r="AH35" s="9">
        <v>0</v>
      </c>
      <c r="AI35" s="9">
        <v>243.6</v>
      </c>
      <c r="AJ35" s="11">
        <v>1</v>
      </c>
    </row>
    <row r="36" spans="1:36" hidden="1" x14ac:dyDescent="0.3">
      <c r="A36" s="1" t="s">
        <v>152</v>
      </c>
      <c r="B36" s="1">
        <v>218159</v>
      </c>
      <c r="C36" s="1"/>
      <c r="D36" s="1" t="s">
        <v>56</v>
      </c>
      <c r="E36" s="7" t="s">
        <v>57</v>
      </c>
      <c r="F36" s="7" t="s">
        <v>146</v>
      </c>
      <c r="G36" s="8">
        <f>SUM(Tabela1[[#This Row],[Total em Romaneio]],Tabela1[[#This Row],[Saldo Despacho]])/Tabela1[[#This Row],[Total do Pedido]]</f>
        <v>1</v>
      </c>
      <c r="H36" s="42">
        <f>SUM(Tabela1[[#This Row],[Total em Romaneio]],Tabela1[[#This Row],[Saldo Despacho]])</f>
        <v>120.89</v>
      </c>
      <c r="I36" s="9">
        <v>120.89</v>
      </c>
      <c r="J36" s="10">
        <v>46178</v>
      </c>
      <c r="K36" s="2"/>
      <c r="L36" s="8">
        <f>Tabela1[[#This Row],[Saldo Pedido]]/Tabela1[[#This Row],[Total do Pedido]]</f>
        <v>0</v>
      </c>
      <c r="M36" s="8">
        <f>Tabela1[[#This Row],[Total Despachado]]/Tabela1[[#This Row],[Total do Pedido]]</f>
        <v>0</v>
      </c>
      <c r="N36" s="2">
        <v>46163</v>
      </c>
      <c r="O36" s="2">
        <v>46163</v>
      </c>
      <c r="P36" s="2"/>
      <c r="S36" s="1" t="s">
        <v>44</v>
      </c>
      <c r="T36" s="1" t="s">
        <v>32</v>
      </c>
      <c r="U36" s="1">
        <v>191</v>
      </c>
      <c r="V36" s="1" t="s">
        <v>39</v>
      </c>
      <c r="W36" s="1" t="s">
        <v>35</v>
      </c>
      <c r="X36" s="1" t="s">
        <v>42</v>
      </c>
      <c r="Y36" s="1" t="s">
        <v>37</v>
      </c>
      <c r="Z36" s="9">
        <v>120.89</v>
      </c>
      <c r="AA36" s="9">
        <v>0</v>
      </c>
      <c r="AB36" s="9">
        <v>0</v>
      </c>
      <c r="AC36" s="9">
        <v>0</v>
      </c>
      <c r="AD36" s="9">
        <v>0</v>
      </c>
      <c r="AE36" s="9">
        <v>120.89</v>
      </c>
      <c r="AF36" s="9">
        <v>0</v>
      </c>
      <c r="AG36" s="9">
        <v>120.89</v>
      </c>
      <c r="AH36" s="9">
        <v>0</v>
      </c>
      <c r="AI36" s="9">
        <v>0</v>
      </c>
      <c r="AJ36" s="11">
        <v>1</v>
      </c>
    </row>
    <row r="37" spans="1:36" hidden="1" x14ac:dyDescent="0.3">
      <c r="A37" s="1" t="s">
        <v>59</v>
      </c>
      <c r="B37" s="1">
        <v>218021</v>
      </c>
      <c r="C37" s="1">
        <v>113995</v>
      </c>
      <c r="D37" s="1" t="s">
        <v>60</v>
      </c>
      <c r="E37" s="7" t="s">
        <v>34</v>
      </c>
      <c r="F37" s="7" t="s">
        <v>132</v>
      </c>
      <c r="G37" s="8">
        <f>SUM(Tabela1[[#This Row],[Total em Romaneio]],Tabela1[[#This Row],[Saldo Despacho]])/Tabela1[[#This Row],[Total do Pedido]]</f>
        <v>1</v>
      </c>
      <c r="H37" s="42">
        <f>SUM(Tabela1[[#This Row],[Total em Romaneio]],Tabela1[[#This Row],[Saldo Despacho]])</f>
        <v>71.05</v>
      </c>
      <c r="I37" s="9">
        <v>71.05</v>
      </c>
      <c r="J37" s="10">
        <v>46167</v>
      </c>
      <c r="K37" s="2"/>
      <c r="L37" s="8">
        <f>Tabela1[[#This Row],[Saldo Pedido]]/Tabela1[[#This Row],[Total do Pedido]]</f>
        <v>0</v>
      </c>
      <c r="M37" s="8">
        <f>Tabela1[[#This Row],[Total Despachado]]/Tabela1[[#This Row],[Total do Pedido]]</f>
        <v>0</v>
      </c>
      <c r="N37" s="2">
        <v>46157</v>
      </c>
      <c r="O37" s="2">
        <v>46157</v>
      </c>
      <c r="P37" s="2"/>
      <c r="S37" s="1" t="s">
        <v>31</v>
      </c>
      <c r="T37" s="1" t="s">
        <v>38</v>
      </c>
      <c r="U37" s="1">
        <v>12</v>
      </c>
      <c r="V37" s="1" t="s">
        <v>33</v>
      </c>
      <c r="W37" s="1" t="s">
        <v>35</v>
      </c>
      <c r="X37" s="1" t="s">
        <v>42</v>
      </c>
      <c r="Y37" s="1" t="s">
        <v>37</v>
      </c>
      <c r="Z37" s="9">
        <v>71.05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71.05</v>
      </c>
      <c r="AG37" s="9">
        <v>0</v>
      </c>
      <c r="AH37" s="9">
        <v>0</v>
      </c>
      <c r="AI37" s="9">
        <v>71.05</v>
      </c>
      <c r="AJ37" s="11">
        <v>1</v>
      </c>
    </row>
    <row r="38" spans="1:36" hidden="1" x14ac:dyDescent="0.3">
      <c r="A38" s="1" t="s">
        <v>147</v>
      </c>
      <c r="B38" s="1">
        <v>218112</v>
      </c>
      <c r="C38" s="1"/>
      <c r="D38" s="1" t="s">
        <v>99</v>
      </c>
      <c r="E38" s="7" t="s">
        <v>45</v>
      </c>
      <c r="F38" s="7" t="s">
        <v>143</v>
      </c>
      <c r="G38" s="8">
        <f>SUM(Tabela1[[#This Row],[Total em Romaneio]],Tabela1[[#This Row],[Saldo Despacho]])/Tabela1[[#This Row],[Total do Pedido]]</f>
        <v>1</v>
      </c>
      <c r="H38" s="42">
        <f>SUM(Tabela1[[#This Row],[Total em Romaneio]],Tabela1[[#This Row],[Saldo Despacho]])</f>
        <v>51.85</v>
      </c>
      <c r="I38" s="9">
        <v>51.85</v>
      </c>
      <c r="J38" s="10">
        <v>46162</v>
      </c>
      <c r="K38" s="2"/>
      <c r="L38" s="8">
        <f>Tabela1[[#This Row],[Saldo Pedido]]/Tabela1[[#This Row],[Total do Pedido]]</f>
        <v>0</v>
      </c>
      <c r="M38" s="8">
        <f>Tabela1[[#This Row],[Total Despachado]]/Tabela1[[#This Row],[Total do Pedido]]</f>
        <v>0</v>
      </c>
      <c r="N38" s="2">
        <v>46161</v>
      </c>
      <c r="O38" s="2">
        <v>46161</v>
      </c>
      <c r="P38" s="2"/>
      <c r="S38" s="1" t="s">
        <v>44</v>
      </c>
      <c r="T38" s="1" t="s">
        <v>115</v>
      </c>
      <c r="U38" s="1">
        <v>208</v>
      </c>
      <c r="V38" s="1" t="s">
        <v>39</v>
      </c>
      <c r="W38" s="1" t="s">
        <v>35</v>
      </c>
      <c r="X38" s="1" t="s">
        <v>42</v>
      </c>
      <c r="Y38" s="1" t="s">
        <v>37</v>
      </c>
      <c r="Z38" s="9">
        <v>51.85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51.85</v>
      </c>
      <c r="AG38" s="9">
        <v>0</v>
      </c>
      <c r="AH38" s="9">
        <v>0</v>
      </c>
      <c r="AI38" s="9">
        <v>51.85</v>
      </c>
      <c r="AJ38" s="11">
        <v>1</v>
      </c>
    </row>
    <row r="39" spans="1:36" hidden="1" x14ac:dyDescent="0.3">
      <c r="A39" s="1" t="s">
        <v>59</v>
      </c>
      <c r="B39" s="1">
        <v>218032</v>
      </c>
      <c r="C39" s="1">
        <v>114225</v>
      </c>
      <c r="D39" s="1" t="s">
        <v>60</v>
      </c>
      <c r="E39" s="7" t="s">
        <v>34</v>
      </c>
      <c r="F39" s="7" t="s">
        <v>137</v>
      </c>
      <c r="G39" s="8">
        <f>SUM(Tabela1[[#This Row],[Total em Romaneio]],Tabela1[[#This Row],[Saldo Despacho]])/Tabela1[[#This Row],[Total do Pedido]]</f>
        <v>0.99999999999999989</v>
      </c>
      <c r="H39" s="42">
        <f>SUM(Tabela1[[#This Row],[Total em Romaneio]],Tabela1[[#This Row],[Saldo Despacho]])</f>
        <v>22971.989999999998</v>
      </c>
      <c r="I39" s="9">
        <v>22971.99</v>
      </c>
      <c r="J39" s="10">
        <v>46167</v>
      </c>
      <c r="K39" s="2"/>
      <c r="L39" s="8">
        <f>Tabela1[[#This Row],[Saldo Pedido]]/Tabela1[[#This Row],[Total do Pedido]]</f>
        <v>0</v>
      </c>
      <c r="M39" s="8">
        <f>Tabela1[[#This Row],[Total Despachado]]/Tabela1[[#This Row],[Total do Pedido]]</f>
        <v>0</v>
      </c>
      <c r="N39" s="2">
        <v>46157</v>
      </c>
      <c r="O39" s="2">
        <v>46160</v>
      </c>
      <c r="P39" s="2"/>
      <c r="Q39" s="10">
        <v>46169</v>
      </c>
      <c r="S39" s="1" t="s">
        <v>31</v>
      </c>
      <c r="T39" s="1" t="s">
        <v>32</v>
      </c>
      <c r="U39" s="1">
        <v>12</v>
      </c>
      <c r="V39" s="1" t="s">
        <v>33</v>
      </c>
      <c r="W39" s="1" t="s">
        <v>35</v>
      </c>
      <c r="X39" s="1" t="s">
        <v>52</v>
      </c>
      <c r="Y39" s="1" t="s">
        <v>37</v>
      </c>
      <c r="Z39" s="9">
        <v>22971.99</v>
      </c>
      <c r="AA39" s="9">
        <v>0</v>
      </c>
      <c r="AB39" s="9">
        <v>5365.53</v>
      </c>
      <c r="AC39" s="9">
        <v>1850.13</v>
      </c>
      <c r="AD39" s="9">
        <v>3515.4</v>
      </c>
      <c r="AE39" s="9">
        <v>650.6</v>
      </c>
      <c r="AF39" s="9">
        <v>22321.39</v>
      </c>
      <c r="AG39" s="9">
        <v>650.6</v>
      </c>
      <c r="AH39" s="9">
        <v>0</v>
      </c>
      <c r="AI39" s="9">
        <v>22321.39</v>
      </c>
      <c r="AJ39" s="11">
        <v>1</v>
      </c>
    </row>
    <row r="40" spans="1:36" hidden="1" x14ac:dyDescent="0.3">
      <c r="A40" s="1" t="s">
        <v>104</v>
      </c>
      <c r="B40" s="1">
        <v>215737</v>
      </c>
      <c r="C40" s="1"/>
      <c r="D40" s="1" t="s">
        <v>56</v>
      </c>
      <c r="E40" s="7" t="s">
        <v>86</v>
      </c>
      <c r="F40" s="7" t="s">
        <v>87</v>
      </c>
      <c r="G40" s="8">
        <f>SUM(Tabela1[[#This Row],[Total em Romaneio]],Tabela1[[#This Row],[Saldo Despacho]])/Tabela1[[#This Row],[Total do Pedido]]</f>
        <v>0.99999939390964054</v>
      </c>
      <c r="H40" s="42">
        <f>SUM(Tabela1[[#This Row],[Total em Romaneio]],Tabela1[[#This Row],[Saldo Despacho]])</f>
        <v>16499.18</v>
      </c>
      <c r="I40" s="9">
        <v>16499.189999999999</v>
      </c>
      <c r="J40" s="10">
        <v>46086</v>
      </c>
      <c r="K40" s="2"/>
      <c r="L40" s="8">
        <f>Tabela1[[#This Row],[Saldo Pedido]]/Tabela1[[#This Row],[Total do Pedido]]</f>
        <v>0</v>
      </c>
      <c r="M40" s="8">
        <f>Tabela1[[#This Row],[Total Despachado]]/Tabela1[[#This Row],[Total do Pedido]]</f>
        <v>0</v>
      </c>
      <c r="N40" s="2">
        <v>46085</v>
      </c>
      <c r="O40" s="2">
        <v>46085</v>
      </c>
      <c r="P40" s="2"/>
      <c r="Q40" s="10">
        <v>46085</v>
      </c>
      <c r="S40" s="1" t="s">
        <v>44</v>
      </c>
      <c r="T40" s="1" t="s">
        <v>38</v>
      </c>
      <c r="U40" s="1">
        <v>236</v>
      </c>
      <c r="V40" s="1" t="s">
        <v>85</v>
      </c>
      <c r="W40" s="1" t="s">
        <v>35</v>
      </c>
      <c r="X40" s="1" t="s">
        <v>51</v>
      </c>
      <c r="Y40" s="1" t="s">
        <v>37</v>
      </c>
      <c r="Z40" s="9">
        <v>16499.189999999999</v>
      </c>
      <c r="AA40" s="9">
        <v>0</v>
      </c>
      <c r="AB40" s="9">
        <v>16220.49</v>
      </c>
      <c r="AC40" s="9">
        <v>16220.49</v>
      </c>
      <c r="AD40" s="9">
        <v>0</v>
      </c>
      <c r="AE40" s="9">
        <v>0</v>
      </c>
      <c r="AF40" s="9">
        <v>16499.18</v>
      </c>
      <c r="AG40" s="9">
        <v>0</v>
      </c>
      <c r="AH40" s="9">
        <v>0</v>
      </c>
      <c r="AI40" s="9">
        <v>16499.18</v>
      </c>
      <c r="AJ40" s="11">
        <v>1</v>
      </c>
    </row>
    <row r="41" spans="1:36" hidden="1" x14ac:dyDescent="0.3">
      <c r="A41" s="1" t="s">
        <v>59</v>
      </c>
      <c r="B41" s="1">
        <v>218319</v>
      </c>
      <c r="C41" s="1">
        <v>114347</v>
      </c>
      <c r="D41" s="1" t="s">
        <v>60</v>
      </c>
      <c r="E41" s="7" t="s">
        <v>34</v>
      </c>
      <c r="F41" s="7" t="s">
        <v>172</v>
      </c>
      <c r="G41" s="8">
        <f>SUM(Tabela1[[#This Row],[Total em Romaneio]],Tabela1[[#This Row],[Saldo Despacho]])/Tabela1[[#This Row],[Total do Pedido]]</f>
        <v>0.98777755143613766</v>
      </c>
      <c r="H41" s="42">
        <f>SUM(Tabela1[[#This Row],[Total em Romaneio]],Tabela1[[#This Row],[Saldo Despacho]])</f>
        <v>2182.0500000000002</v>
      </c>
      <c r="I41" s="9">
        <v>2209.0500000000002</v>
      </c>
      <c r="J41" s="10">
        <v>46181</v>
      </c>
      <c r="K41" s="2"/>
      <c r="L41" s="8">
        <f>Tabela1[[#This Row],[Saldo Pedido]]/Tabela1[[#This Row],[Total do Pedido]]</f>
        <v>1.2222448563862292E-2</v>
      </c>
      <c r="M41" s="8">
        <f>Tabela1[[#This Row],[Total Despachado]]/Tabela1[[#This Row],[Total do Pedido]]</f>
        <v>0</v>
      </c>
      <c r="N41" s="2">
        <v>46169</v>
      </c>
      <c r="O41" s="2">
        <v>46169</v>
      </c>
      <c r="P41" s="2"/>
      <c r="S41" s="1" t="s">
        <v>31</v>
      </c>
      <c r="T41" s="1" t="s">
        <v>38</v>
      </c>
      <c r="U41" s="1">
        <v>12</v>
      </c>
      <c r="V41" s="1" t="s">
        <v>33</v>
      </c>
      <c r="W41" s="1" t="s">
        <v>35</v>
      </c>
      <c r="X41" s="1" t="s">
        <v>36</v>
      </c>
      <c r="Y41" s="1" t="s">
        <v>43</v>
      </c>
      <c r="Z41" s="9">
        <v>2182.0500000000002</v>
      </c>
      <c r="AA41" s="9">
        <v>27</v>
      </c>
      <c r="AB41" s="9">
        <v>221</v>
      </c>
      <c r="AC41" s="9">
        <v>9</v>
      </c>
      <c r="AD41" s="9">
        <v>212</v>
      </c>
      <c r="AE41" s="9">
        <v>650</v>
      </c>
      <c r="AF41" s="9">
        <v>1532.05</v>
      </c>
      <c r="AG41" s="9">
        <v>677</v>
      </c>
      <c r="AH41" s="9">
        <v>0</v>
      </c>
      <c r="AI41" s="9">
        <v>1532.05</v>
      </c>
      <c r="AJ41" s="11">
        <v>1</v>
      </c>
    </row>
    <row r="42" spans="1:36" x14ac:dyDescent="0.3">
      <c r="A42" s="1" t="s">
        <v>64</v>
      </c>
      <c r="B42" s="1">
        <v>218219</v>
      </c>
      <c r="C42" s="1"/>
      <c r="D42" s="1" t="s">
        <v>65</v>
      </c>
      <c r="E42" s="7" t="s">
        <v>57</v>
      </c>
      <c r="F42" s="7" t="s">
        <v>77</v>
      </c>
      <c r="G42" s="8">
        <f>SUM(Tabela1[[#This Row],[Total em Romaneio]],Tabela1[[#This Row],[Saldo Despacho]])/Tabela1[[#This Row],[Total do Pedido]]</f>
        <v>0.97286880275374288</v>
      </c>
      <c r="H42" s="42">
        <f>SUM(Tabela1[[#This Row],[Total em Romaneio]],Tabela1[[#This Row],[Saldo Despacho]])</f>
        <v>4957.3599999999997</v>
      </c>
      <c r="I42" s="9">
        <v>5095.6099999999997</v>
      </c>
      <c r="J42" s="10">
        <v>46178</v>
      </c>
      <c r="K42" s="2"/>
      <c r="L42" s="8">
        <f>Tabela1[[#This Row],[Saldo Pedido]]/Tabela1[[#This Row],[Total do Pedido]]</f>
        <v>2.7131197246257073E-2</v>
      </c>
      <c r="M42" s="8">
        <f>Tabela1[[#This Row],[Total Despachado]]/Tabela1[[#This Row],[Total do Pedido]]</f>
        <v>0</v>
      </c>
      <c r="N42" s="2">
        <v>46164</v>
      </c>
      <c r="O42" s="2">
        <v>46168</v>
      </c>
      <c r="P42" s="2"/>
      <c r="Q42" s="10">
        <v>46171</v>
      </c>
      <c r="S42" s="1" t="s">
        <v>66</v>
      </c>
      <c r="T42" s="1" t="s">
        <v>32</v>
      </c>
      <c r="U42" s="1">
        <v>12</v>
      </c>
      <c r="V42" s="1" t="s">
        <v>39</v>
      </c>
      <c r="W42" s="1" t="s">
        <v>35</v>
      </c>
      <c r="X42" s="1" t="s">
        <v>52</v>
      </c>
      <c r="Y42" s="1" t="s">
        <v>43</v>
      </c>
      <c r="Z42" s="9">
        <v>4957.3599999999997</v>
      </c>
      <c r="AA42" s="9">
        <v>138.25</v>
      </c>
      <c r="AB42" s="9">
        <v>352.14</v>
      </c>
      <c r="AC42" s="9">
        <v>308.97000000000003</v>
      </c>
      <c r="AD42" s="9">
        <v>43.17</v>
      </c>
      <c r="AE42" s="9">
        <v>4957.3599999999997</v>
      </c>
      <c r="AF42" s="9">
        <v>0</v>
      </c>
      <c r="AG42" s="9">
        <v>5095.6099999999997</v>
      </c>
      <c r="AH42" s="9">
        <v>0</v>
      </c>
      <c r="AI42" s="9">
        <v>0</v>
      </c>
      <c r="AJ42" s="11">
        <v>1</v>
      </c>
    </row>
    <row r="43" spans="1:36" hidden="1" x14ac:dyDescent="0.3">
      <c r="A43" s="1" t="s">
        <v>135</v>
      </c>
      <c r="B43" s="1">
        <v>217758</v>
      </c>
      <c r="C43" s="1">
        <v>114092</v>
      </c>
      <c r="D43" s="1" t="s">
        <v>136</v>
      </c>
      <c r="E43" s="7" t="s">
        <v>34</v>
      </c>
      <c r="F43" s="7" t="s">
        <v>95</v>
      </c>
      <c r="G43" s="8">
        <f>SUM(Tabela1[[#This Row],[Total em Romaneio]],Tabela1[[#This Row],[Saldo Despacho]])/Tabela1[[#This Row],[Total do Pedido]]</f>
        <v>0.94792247401042862</v>
      </c>
      <c r="H43" s="42">
        <f>SUM(Tabela1[[#This Row],[Total em Romaneio]],Tabela1[[#This Row],[Saldo Despacho]])</f>
        <v>5781</v>
      </c>
      <c r="I43" s="9">
        <v>6098.6</v>
      </c>
      <c r="J43" s="10">
        <v>46157</v>
      </c>
      <c r="K43" s="2"/>
      <c r="L43" s="8">
        <f>Tabela1[[#This Row],[Saldo Pedido]]/Tabela1[[#This Row],[Total do Pedido]]</f>
        <v>4.5256288328468829E-3</v>
      </c>
      <c r="M43" s="8">
        <f>Tabela1[[#This Row],[Total Despachado]]/Tabela1[[#This Row],[Total do Pedido]]</f>
        <v>0</v>
      </c>
      <c r="N43" s="2">
        <v>46148</v>
      </c>
      <c r="O43" s="2">
        <v>46154</v>
      </c>
      <c r="P43" s="2"/>
      <c r="Q43" s="10">
        <v>46161</v>
      </c>
      <c r="S43" s="1" t="s">
        <v>48</v>
      </c>
      <c r="T43" s="1" t="s">
        <v>32</v>
      </c>
      <c r="U43" s="1">
        <v>12</v>
      </c>
      <c r="V43" s="1" t="s">
        <v>33</v>
      </c>
      <c r="W43" s="1" t="s">
        <v>35</v>
      </c>
      <c r="X43" s="1" t="s">
        <v>52</v>
      </c>
      <c r="Y43" s="1" t="s">
        <v>43</v>
      </c>
      <c r="Z43" s="9">
        <v>6071</v>
      </c>
      <c r="AA43" s="9">
        <v>27.6</v>
      </c>
      <c r="AB43" s="9">
        <v>2752.04</v>
      </c>
      <c r="AC43" s="9">
        <v>360.04</v>
      </c>
      <c r="AD43" s="9">
        <v>2392</v>
      </c>
      <c r="AE43" s="9">
        <v>5167.6000000000004</v>
      </c>
      <c r="AF43" s="9">
        <v>613.4</v>
      </c>
      <c r="AG43" s="9">
        <v>5485.2</v>
      </c>
      <c r="AH43" s="9">
        <v>0</v>
      </c>
      <c r="AI43" s="9">
        <v>613.4</v>
      </c>
      <c r="AJ43" s="11">
        <v>1</v>
      </c>
    </row>
    <row r="44" spans="1:36" hidden="1" x14ac:dyDescent="0.3">
      <c r="A44" s="1" t="s">
        <v>138</v>
      </c>
      <c r="B44" s="1">
        <v>218385</v>
      </c>
      <c r="C44" s="1"/>
      <c r="D44" s="1" t="s">
        <v>139</v>
      </c>
      <c r="E44" s="7" t="s">
        <v>63</v>
      </c>
      <c r="F44" s="7" t="s">
        <v>41</v>
      </c>
      <c r="G44" s="8">
        <f>SUM(Tabela1[[#This Row],[Total em Romaneio]],Tabela1[[#This Row],[Saldo Despacho]])/Tabela1[[#This Row],[Total do Pedido]]</f>
        <v>0.941638551731517</v>
      </c>
      <c r="H44" s="42">
        <f>SUM(Tabela1[[#This Row],[Total em Romaneio]],Tabela1[[#This Row],[Saldo Despacho]])</f>
        <v>129456.76</v>
      </c>
      <c r="I44" s="9">
        <v>137480.31</v>
      </c>
      <c r="J44" s="10">
        <v>46176</v>
      </c>
      <c r="K44" s="2"/>
      <c r="L44" s="8">
        <f>Tabela1[[#This Row],[Saldo Pedido]]/Tabela1[[#This Row],[Total do Pedido]]</f>
        <v>5.8361448268482961E-2</v>
      </c>
      <c r="M44" s="8">
        <f>Tabela1[[#This Row],[Total Despachado]]/Tabela1[[#This Row],[Total do Pedido]]</f>
        <v>0</v>
      </c>
      <c r="N44" s="2">
        <v>46171</v>
      </c>
      <c r="O44" s="2">
        <v>46171</v>
      </c>
      <c r="P44" s="2"/>
      <c r="S44" s="1" t="s">
        <v>48</v>
      </c>
      <c r="T44" s="1" t="s">
        <v>32</v>
      </c>
      <c r="U44" s="1">
        <v>12</v>
      </c>
      <c r="V44" s="1" t="s">
        <v>39</v>
      </c>
      <c r="W44" s="1" t="s">
        <v>35</v>
      </c>
      <c r="X44" s="1" t="s">
        <v>36</v>
      </c>
      <c r="Y44" s="1" t="s">
        <v>43</v>
      </c>
      <c r="Z44" s="9">
        <v>129456.76</v>
      </c>
      <c r="AA44" s="9">
        <v>8023.55</v>
      </c>
      <c r="AB44" s="9">
        <v>4572.96</v>
      </c>
      <c r="AC44" s="9">
        <v>0</v>
      </c>
      <c r="AD44" s="9">
        <v>4572.96</v>
      </c>
      <c r="AE44" s="9">
        <v>129456.76</v>
      </c>
      <c r="AF44" s="9">
        <v>0</v>
      </c>
      <c r="AG44" s="9">
        <v>137480.31</v>
      </c>
      <c r="AH44" s="9">
        <v>0</v>
      </c>
      <c r="AI44" s="9">
        <v>0</v>
      </c>
      <c r="AJ44" s="11">
        <v>1</v>
      </c>
    </row>
    <row r="45" spans="1:36" hidden="1" x14ac:dyDescent="0.3">
      <c r="A45" s="1" t="s">
        <v>53</v>
      </c>
      <c r="B45" s="1">
        <v>218340</v>
      </c>
      <c r="C45" s="1"/>
      <c r="D45" s="1" t="s">
        <v>54</v>
      </c>
      <c r="E45" s="7" t="s">
        <v>57</v>
      </c>
      <c r="F45" s="7" t="s">
        <v>77</v>
      </c>
      <c r="G45" s="8">
        <f>SUM(Tabela1[[#This Row],[Total em Romaneio]],Tabela1[[#This Row],[Saldo Despacho]])/Tabela1[[#This Row],[Total do Pedido]]</f>
        <v>0.93734829007655518</v>
      </c>
      <c r="H45" s="42">
        <f>SUM(Tabela1[[#This Row],[Total em Romaneio]],Tabela1[[#This Row],[Saldo Despacho]])</f>
        <v>3263.05</v>
      </c>
      <c r="I45" s="9">
        <v>3481.15</v>
      </c>
      <c r="J45" s="10">
        <v>46192</v>
      </c>
      <c r="K45" s="2"/>
      <c r="L45" s="8">
        <f>Tabela1[[#This Row],[Saldo Pedido]]/Tabela1[[#This Row],[Total do Pedido]]</f>
        <v>6.2651709923444834E-2</v>
      </c>
      <c r="M45" s="8">
        <f>Tabela1[[#This Row],[Total Despachado]]/Tabela1[[#This Row],[Total do Pedido]]</f>
        <v>0</v>
      </c>
      <c r="N45" s="2">
        <v>46170</v>
      </c>
      <c r="O45" s="2">
        <v>46170</v>
      </c>
      <c r="P45" s="2"/>
      <c r="R45" s="10">
        <v>46174</v>
      </c>
      <c r="S45" s="1" t="s">
        <v>31</v>
      </c>
      <c r="T45" s="1" t="s">
        <v>38</v>
      </c>
      <c r="U45" s="1">
        <v>12</v>
      </c>
      <c r="V45" s="1" t="s">
        <v>49</v>
      </c>
      <c r="W45" s="1" t="s">
        <v>35</v>
      </c>
      <c r="X45" s="1" t="s">
        <v>58</v>
      </c>
      <c r="Y45" s="1" t="s">
        <v>43</v>
      </c>
      <c r="Z45" s="9">
        <v>3263.05</v>
      </c>
      <c r="AA45" s="9">
        <v>218.1</v>
      </c>
      <c r="AB45" s="9">
        <v>147.69999999999999</v>
      </c>
      <c r="AC45" s="9">
        <v>147.69999999999999</v>
      </c>
      <c r="AD45" s="9">
        <v>0</v>
      </c>
      <c r="AE45" s="9">
        <v>3263.05</v>
      </c>
      <c r="AF45" s="9">
        <v>0</v>
      </c>
      <c r="AG45" s="9">
        <v>3481.15</v>
      </c>
      <c r="AH45" s="9">
        <v>0</v>
      </c>
      <c r="AI45" s="9">
        <v>0</v>
      </c>
      <c r="AJ45" s="11">
        <v>1</v>
      </c>
    </row>
    <row r="46" spans="1:36" hidden="1" x14ac:dyDescent="0.3">
      <c r="A46" s="1" t="s">
        <v>55</v>
      </c>
      <c r="B46" s="1">
        <v>218294</v>
      </c>
      <c r="C46" s="1"/>
      <c r="D46" s="1" t="s">
        <v>56</v>
      </c>
      <c r="E46" s="7" t="s">
        <v>57</v>
      </c>
      <c r="F46" s="7" t="s">
        <v>114</v>
      </c>
      <c r="G46" s="8">
        <f>SUM(Tabela1[[#This Row],[Total em Romaneio]],Tabela1[[#This Row],[Saldo Despacho]])/Tabela1[[#This Row],[Total do Pedido]]</f>
        <v>0.91951880971337585</v>
      </c>
      <c r="H46" s="42">
        <f>SUM(Tabela1[[#This Row],[Total em Romaneio]],Tabela1[[#This Row],[Saldo Despacho]])</f>
        <v>3695.73</v>
      </c>
      <c r="I46" s="9">
        <v>4019.2</v>
      </c>
      <c r="J46" s="10">
        <v>46178</v>
      </c>
      <c r="K46" s="2"/>
      <c r="L46" s="8">
        <f>Tabela1[[#This Row],[Saldo Pedido]]/Tabela1[[#This Row],[Total do Pedido]]</f>
        <v>8.0481190286624218E-2</v>
      </c>
      <c r="M46" s="8">
        <f>Tabela1[[#This Row],[Total Despachado]]/Tabela1[[#This Row],[Total do Pedido]]</f>
        <v>0</v>
      </c>
      <c r="N46" s="2">
        <v>46169</v>
      </c>
      <c r="O46" s="2">
        <v>46169</v>
      </c>
      <c r="P46" s="2"/>
      <c r="R46" s="10">
        <v>46171</v>
      </c>
      <c r="S46" s="1" t="s">
        <v>44</v>
      </c>
      <c r="T46" s="1" t="s">
        <v>38</v>
      </c>
      <c r="U46" s="1">
        <v>191</v>
      </c>
      <c r="V46" s="1" t="s">
        <v>39</v>
      </c>
      <c r="W46" s="1" t="s">
        <v>35</v>
      </c>
      <c r="X46" s="1" t="s">
        <v>58</v>
      </c>
      <c r="Y46" s="1" t="s">
        <v>43</v>
      </c>
      <c r="Z46" s="9">
        <v>3695.73</v>
      </c>
      <c r="AA46" s="9">
        <v>323.47000000000003</v>
      </c>
      <c r="AB46" s="9">
        <v>323.39999999999998</v>
      </c>
      <c r="AC46" s="9">
        <v>323.39999999999998</v>
      </c>
      <c r="AD46" s="9">
        <v>0</v>
      </c>
      <c r="AE46" s="9">
        <v>3695.73</v>
      </c>
      <c r="AF46" s="9">
        <v>0</v>
      </c>
      <c r="AG46" s="9">
        <v>4019.2</v>
      </c>
      <c r="AH46" s="9">
        <v>0</v>
      </c>
      <c r="AI46" s="9">
        <v>0</v>
      </c>
      <c r="AJ46" s="11">
        <v>1</v>
      </c>
    </row>
    <row r="47" spans="1:36" hidden="1" x14ac:dyDescent="0.3">
      <c r="A47" s="1" t="s">
        <v>135</v>
      </c>
      <c r="B47" s="1">
        <v>218409</v>
      </c>
      <c r="C47" s="1">
        <v>114402</v>
      </c>
      <c r="D47" s="1" t="s">
        <v>136</v>
      </c>
      <c r="E47" s="7" t="s">
        <v>63</v>
      </c>
      <c r="F47" s="7" t="s">
        <v>41</v>
      </c>
      <c r="G47" s="8">
        <f>SUM(Tabela1[[#This Row],[Total em Romaneio]],Tabela1[[#This Row],[Saldo Despacho]])/Tabela1[[#This Row],[Total do Pedido]]</f>
        <v>0.90609058486575633</v>
      </c>
      <c r="H47" s="42">
        <f>SUM(Tabela1[[#This Row],[Total em Romaneio]],Tabela1[[#This Row],[Saldo Despacho]])</f>
        <v>6966.26</v>
      </c>
      <c r="I47" s="9">
        <v>7688.26</v>
      </c>
      <c r="J47" s="10">
        <v>46181</v>
      </c>
      <c r="K47" s="2"/>
      <c r="L47" s="8">
        <f>Tabela1[[#This Row],[Saldo Pedido]]/Tabela1[[#This Row],[Total do Pedido]]</f>
        <v>9.390941513424364E-2</v>
      </c>
      <c r="M47" s="8">
        <f>Tabela1[[#This Row],[Total Despachado]]/Tabela1[[#This Row],[Total do Pedido]]</f>
        <v>0</v>
      </c>
      <c r="N47" s="2">
        <v>46171</v>
      </c>
      <c r="O47" s="2">
        <v>46171</v>
      </c>
      <c r="P47" s="2"/>
      <c r="S47" s="1" t="s">
        <v>48</v>
      </c>
      <c r="T47" s="1" t="s">
        <v>38</v>
      </c>
      <c r="U47" s="1">
        <v>12</v>
      </c>
      <c r="V47" s="1" t="s">
        <v>61</v>
      </c>
      <c r="W47" s="1" t="s">
        <v>35</v>
      </c>
      <c r="X47" s="1" t="s">
        <v>36</v>
      </c>
      <c r="Y47" s="1" t="s">
        <v>43</v>
      </c>
      <c r="Z47" s="9">
        <v>6966.26</v>
      </c>
      <c r="AA47" s="9">
        <v>722</v>
      </c>
      <c r="AB47" s="9">
        <v>503.3</v>
      </c>
      <c r="AC47" s="9">
        <v>0</v>
      </c>
      <c r="AD47" s="9">
        <v>503.3</v>
      </c>
      <c r="AE47" s="9">
        <v>6966.26</v>
      </c>
      <c r="AF47" s="9">
        <v>0</v>
      </c>
      <c r="AG47" s="9">
        <v>7688.26</v>
      </c>
      <c r="AH47" s="9">
        <v>0</v>
      </c>
      <c r="AI47" s="9">
        <v>0</v>
      </c>
      <c r="AJ47" s="11">
        <v>1</v>
      </c>
    </row>
    <row r="48" spans="1:36" hidden="1" x14ac:dyDescent="0.3">
      <c r="A48" s="1" t="s">
        <v>53</v>
      </c>
      <c r="B48" s="1">
        <v>217134</v>
      </c>
      <c r="C48" s="1">
        <v>113812</v>
      </c>
      <c r="D48" s="1" t="s">
        <v>54</v>
      </c>
      <c r="E48" s="7" t="s">
        <v>57</v>
      </c>
      <c r="F48" s="7" t="s">
        <v>76</v>
      </c>
      <c r="G48" s="8">
        <f>SUM(Tabela1[[#This Row],[Total em Romaneio]],Tabela1[[#This Row],[Saldo Despacho]])/Tabela1[[#This Row],[Total do Pedido]]</f>
        <v>0.89843500479080163</v>
      </c>
      <c r="H48" s="42">
        <f>SUM(Tabela1[[#This Row],[Total em Romaneio]],Tabela1[[#This Row],[Saldo Despacho]])</f>
        <v>1406.5</v>
      </c>
      <c r="I48" s="9">
        <v>1565.5</v>
      </c>
      <c r="J48" s="10">
        <v>46139</v>
      </c>
      <c r="K48" s="2"/>
      <c r="L48" s="8">
        <f>Tabela1[[#This Row],[Saldo Pedido]]/Tabela1[[#This Row],[Total do Pedido]]</f>
        <v>0.10156499520919834</v>
      </c>
      <c r="M48" s="8">
        <f>Tabela1[[#This Row],[Total Despachado]]/Tabela1[[#This Row],[Total do Pedido]]</f>
        <v>0</v>
      </c>
      <c r="N48" s="2">
        <v>46127</v>
      </c>
      <c r="O48" s="2">
        <v>46127</v>
      </c>
      <c r="P48" s="2"/>
      <c r="Q48" s="10">
        <v>46155</v>
      </c>
      <c r="S48" s="1" t="s">
        <v>31</v>
      </c>
      <c r="T48" s="1" t="s">
        <v>38</v>
      </c>
      <c r="U48" s="1">
        <v>12</v>
      </c>
      <c r="V48" s="1" t="s">
        <v>33</v>
      </c>
      <c r="W48" s="1" t="s">
        <v>35</v>
      </c>
      <c r="X48" s="1" t="s">
        <v>51</v>
      </c>
      <c r="Y48" s="1" t="s">
        <v>43</v>
      </c>
      <c r="Z48" s="9">
        <v>1406.5</v>
      </c>
      <c r="AA48" s="9">
        <v>159</v>
      </c>
      <c r="AB48" s="9">
        <v>722</v>
      </c>
      <c r="AC48" s="9">
        <v>644.20000000000005</v>
      </c>
      <c r="AD48" s="9">
        <v>77.8</v>
      </c>
      <c r="AE48" s="9">
        <v>1406.5</v>
      </c>
      <c r="AF48" s="9">
        <v>0</v>
      </c>
      <c r="AG48" s="9">
        <v>1565.5</v>
      </c>
      <c r="AH48" s="9">
        <v>0</v>
      </c>
      <c r="AI48" s="9">
        <v>0</v>
      </c>
      <c r="AJ48" s="11">
        <v>1</v>
      </c>
    </row>
    <row r="49" spans="1:36" hidden="1" x14ac:dyDescent="0.3">
      <c r="A49" s="1" t="s">
        <v>53</v>
      </c>
      <c r="B49" s="1">
        <v>218169</v>
      </c>
      <c r="C49" s="1">
        <v>114277</v>
      </c>
      <c r="D49" s="1" t="s">
        <v>54</v>
      </c>
      <c r="E49" s="7" t="s">
        <v>34</v>
      </c>
      <c r="F49" s="7" t="s">
        <v>154</v>
      </c>
      <c r="G49" s="8">
        <f>SUM(Tabela1[[#This Row],[Total em Romaneio]],Tabela1[[#This Row],[Saldo Despacho]])/Tabela1[[#This Row],[Total do Pedido]]</f>
        <v>0.89226958212262475</v>
      </c>
      <c r="H49" s="42">
        <f>SUM(Tabela1[[#This Row],[Total em Romaneio]],Tabela1[[#This Row],[Saldo Despacho]])</f>
        <v>1707.34</v>
      </c>
      <c r="I49" s="9">
        <v>1913.48</v>
      </c>
      <c r="J49" s="10">
        <v>46174</v>
      </c>
      <c r="K49" s="2"/>
      <c r="L49" s="8">
        <f>Tabela1[[#This Row],[Saldo Pedido]]/Tabela1[[#This Row],[Total do Pedido]]</f>
        <v>0</v>
      </c>
      <c r="M49" s="8">
        <f>Tabela1[[#This Row],[Total Despachado]]/Tabela1[[#This Row],[Total do Pedido]]</f>
        <v>0</v>
      </c>
      <c r="N49" s="2">
        <v>46163</v>
      </c>
      <c r="O49" s="2">
        <v>46163</v>
      </c>
      <c r="P49" s="2"/>
      <c r="Q49" s="10">
        <v>46170</v>
      </c>
      <c r="S49" s="1" t="s">
        <v>31</v>
      </c>
      <c r="T49" s="1" t="s">
        <v>38</v>
      </c>
      <c r="U49" s="1">
        <v>12</v>
      </c>
      <c r="V49" s="1" t="s">
        <v>61</v>
      </c>
      <c r="W49" s="1" t="s">
        <v>35</v>
      </c>
      <c r="X49" s="1" t="s">
        <v>51</v>
      </c>
      <c r="Y49" s="1" t="s">
        <v>37</v>
      </c>
      <c r="Z49" s="9">
        <v>1913.48</v>
      </c>
      <c r="AA49" s="9">
        <v>0</v>
      </c>
      <c r="AB49" s="9">
        <v>150</v>
      </c>
      <c r="AC49" s="9">
        <v>16</v>
      </c>
      <c r="AD49" s="9">
        <v>134</v>
      </c>
      <c r="AE49" s="9">
        <v>0</v>
      </c>
      <c r="AF49" s="9">
        <v>1707.34</v>
      </c>
      <c r="AG49" s="9">
        <v>206.14</v>
      </c>
      <c r="AH49" s="9">
        <v>0</v>
      </c>
      <c r="AI49" s="9">
        <v>1707.34</v>
      </c>
      <c r="AJ49" s="11">
        <v>1</v>
      </c>
    </row>
    <row r="50" spans="1:36" hidden="1" x14ac:dyDescent="0.3">
      <c r="A50" s="1" t="s">
        <v>135</v>
      </c>
      <c r="B50" s="1">
        <v>218411</v>
      </c>
      <c r="C50" s="1">
        <v>114403</v>
      </c>
      <c r="D50" s="1" t="s">
        <v>136</v>
      </c>
      <c r="E50" s="7" t="s">
        <v>63</v>
      </c>
      <c r="F50" s="7" t="s">
        <v>41</v>
      </c>
      <c r="G50" s="8">
        <f>SUM(Tabela1[[#This Row],[Total em Romaneio]],Tabela1[[#This Row],[Saldo Despacho]])/Tabela1[[#This Row],[Total do Pedido]]</f>
        <v>0.89151668644651894</v>
      </c>
      <c r="H50" s="42">
        <f>SUM(Tabela1[[#This Row],[Total em Romaneio]],Tabela1[[#This Row],[Saldo Despacho]])</f>
        <v>13115.94</v>
      </c>
      <c r="I50" s="9">
        <v>14711.94</v>
      </c>
      <c r="J50" s="10">
        <v>46181</v>
      </c>
      <c r="K50" s="2"/>
      <c r="L50" s="8">
        <f>Tabela1[[#This Row],[Saldo Pedido]]/Tabela1[[#This Row],[Total do Pedido]]</f>
        <v>0.10848331355348105</v>
      </c>
      <c r="M50" s="8">
        <f>Tabela1[[#This Row],[Total Despachado]]/Tabela1[[#This Row],[Total do Pedido]]</f>
        <v>0</v>
      </c>
      <c r="N50" s="2">
        <v>46171</v>
      </c>
      <c r="O50" s="2">
        <v>46171</v>
      </c>
      <c r="P50" s="2"/>
      <c r="S50" s="1" t="s">
        <v>48</v>
      </c>
      <c r="T50" s="1" t="s">
        <v>38</v>
      </c>
      <c r="U50" s="1">
        <v>12</v>
      </c>
      <c r="V50" s="1" t="s">
        <v>61</v>
      </c>
      <c r="W50" s="1" t="s">
        <v>35</v>
      </c>
      <c r="X50" s="1" t="s">
        <v>36</v>
      </c>
      <c r="Y50" s="1" t="s">
        <v>43</v>
      </c>
      <c r="Z50" s="9">
        <v>13115.94</v>
      </c>
      <c r="AA50" s="9">
        <v>1596</v>
      </c>
      <c r="AB50" s="9">
        <v>1142.4000000000001</v>
      </c>
      <c r="AC50" s="9">
        <v>0</v>
      </c>
      <c r="AD50" s="9">
        <v>1142.4000000000001</v>
      </c>
      <c r="AE50" s="9">
        <v>13115.94</v>
      </c>
      <c r="AF50" s="9">
        <v>0</v>
      </c>
      <c r="AG50" s="9">
        <v>14711.94</v>
      </c>
      <c r="AH50" s="9">
        <v>0</v>
      </c>
      <c r="AI50" s="9">
        <v>0</v>
      </c>
      <c r="AJ50" s="11">
        <v>1</v>
      </c>
    </row>
    <row r="51" spans="1:36" hidden="1" x14ac:dyDescent="0.3">
      <c r="A51" s="1" t="s">
        <v>59</v>
      </c>
      <c r="B51" s="1">
        <v>217515</v>
      </c>
      <c r="C51" s="1">
        <v>113995</v>
      </c>
      <c r="D51" s="1" t="s">
        <v>60</v>
      </c>
      <c r="E51" s="7" t="s">
        <v>34</v>
      </c>
      <c r="F51" s="7" t="s">
        <v>132</v>
      </c>
      <c r="G51" s="8">
        <f>SUM(Tabela1[[#This Row],[Total em Romaneio]],Tabela1[[#This Row],[Saldo Despacho]])/Tabela1[[#This Row],[Total do Pedido]]</f>
        <v>0.88538132011268045</v>
      </c>
      <c r="H51" s="42">
        <f>SUM(Tabela1[[#This Row],[Total em Romaneio]],Tabela1[[#This Row],[Saldo Despacho]])</f>
        <v>3718.15</v>
      </c>
      <c r="I51" s="9">
        <v>4199.49</v>
      </c>
      <c r="J51" s="10">
        <v>46150</v>
      </c>
      <c r="K51" s="2"/>
      <c r="L51" s="8">
        <f>Tabela1[[#This Row],[Saldo Pedido]]/Tabela1[[#This Row],[Total do Pedido]]</f>
        <v>0</v>
      </c>
      <c r="M51" s="8">
        <f>Tabela1[[#This Row],[Total Despachado]]/Tabela1[[#This Row],[Total do Pedido]]</f>
        <v>0</v>
      </c>
      <c r="N51" s="2">
        <v>46140</v>
      </c>
      <c r="O51" s="2">
        <v>46140</v>
      </c>
      <c r="P51" s="2"/>
      <c r="Q51" s="10">
        <v>46164</v>
      </c>
      <c r="S51" s="1" t="s">
        <v>31</v>
      </c>
      <c r="T51" s="1" t="s">
        <v>32</v>
      </c>
      <c r="U51" s="1">
        <v>12</v>
      </c>
      <c r="V51" s="1" t="s">
        <v>33</v>
      </c>
      <c r="W51" s="1" t="s">
        <v>35</v>
      </c>
      <c r="X51" s="1" t="s">
        <v>52</v>
      </c>
      <c r="Y51" s="1" t="s">
        <v>37</v>
      </c>
      <c r="Z51" s="9">
        <v>4199.49</v>
      </c>
      <c r="AA51" s="9">
        <v>0</v>
      </c>
      <c r="AB51" s="9">
        <v>1733.84</v>
      </c>
      <c r="AC51" s="9">
        <v>1056.78</v>
      </c>
      <c r="AD51" s="9">
        <v>677.06</v>
      </c>
      <c r="AE51" s="9">
        <v>0</v>
      </c>
      <c r="AF51" s="9">
        <v>3736.57</v>
      </c>
      <c r="AG51" s="9">
        <v>462.92</v>
      </c>
      <c r="AH51" s="9">
        <v>0</v>
      </c>
      <c r="AI51" s="9">
        <v>3718.15</v>
      </c>
      <c r="AJ51" s="11">
        <v>1</v>
      </c>
    </row>
    <row r="52" spans="1:36" hidden="1" x14ac:dyDescent="0.3">
      <c r="A52" s="1" t="s">
        <v>158</v>
      </c>
      <c r="B52" s="1">
        <v>218267</v>
      </c>
      <c r="C52" s="1"/>
      <c r="D52" s="1" t="s">
        <v>160</v>
      </c>
      <c r="E52" s="7" t="s">
        <v>63</v>
      </c>
      <c r="F52" s="7" t="s">
        <v>41</v>
      </c>
      <c r="G52" s="8">
        <f>SUM(Tabela1[[#This Row],[Total em Romaneio]],Tabela1[[#This Row],[Saldo Despacho]])/Tabela1[[#This Row],[Total do Pedido]]</f>
        <v>0.88237336372710473</v>
      </c>
      <c r="H52" s="42">
        <f>SUM(Tabela1[[#This Row],[Total em Romaneio]],Tabela1[[#This Row],[Saldo Despacho]])</f>
        <v>77262.2</v>
      </c>
      <c r="I52" s="9">
        <v>87561.8</v>
      </c>
      <c r="J52" s="10">
        <v>46178</v>
      </c>
      <c r="K52" s="2"/>
      <c r="L52" s="8">
        <f>Tabela1[[#This Row],[Saldo Pedido]]/Tabela1[[#This Row],[Total do Pedido]]</f>
        <v>0.11762663627289525</v>
      </c>
      <c r="M52" s="8">
        <f>Tabela1[[#This Row],[Total Despachado]]/Tabela1[[#This Row],[Total do Pedido]]</f>
        <v>0</v>
      </c>
      <c r="N52" s="2">
        <v>46168</v>
      </c>
      <c r="O52" s="2">
        <v>46168</v>
      </c>
      <c r="P52" s="2"/>
      <c r="Q52" s="10">
        <v>46171</v>
      </c>
      <c r="R52" s="10">
        <v>46171</v>
      </c>
      <c r="S52" s="1" t="s">
        <v>31</v>
      </c>
      <c r="T52" s="1" t="s">
        <v>38</v>
      </c>
      <c r="U52" s="1">
        <v>12</v>
      </c>
      <c r="V52" s="1" t="s">
        <v>49</v>
      </c>
      <c r="W52" s="1" t="s">
        <v>35</v>
      </c>
      <c r="X52" s="1" t="s">
        <v>52</v>
      </c>
      <c r="Y52" s="1" t="s">
        <v>43</v>
      </c>
      <c r="Z52" s="9">
        <v>77262.2</v>
      </c>
      <c r="AA52" s="9">
        <v>10299.6</v>
      </c>
      <c r="AB52" s="9">
        <v>30014.69</v>
      </c>
      <c r="AC52" s="9">
        <v>30014.69</v>
      </c>
      <c r="AD52" s="9">
        <v>0</v>
      </c>
      <c r="AE52" s="9">
        <v>77262.2</v>
      </c>
      <c r="AF52" s="9">
        <v>0</v>
      </c>
      <c r="AG52" s="9">
        <v>87561.8</v>
      </c>
      <c r="AH52" s="9">
        <v>0</v>
      </c>
      <c r="AI52" s="9">
        <v>0</v>
      </c>
      <c r="AJ52" s="11">
        <v>1</v>
      </c>
    </row>
    <row r="53" spans="1:36" hidden="1" x14ac:dyDescent="0.3">
      <c r="A53" s="1" t="s">
        <v>135</v>
      </c>
      <c r="B53" s="1">
        <v>217997</v>
      </c>
      <c r="C53" s="1">
        <v>114205</v>
      </c>
      <c r="D53" s="1" t="s">
        <v>136</v>
      </c>
      <c r="E53" s="7" t="s">
        <v>34</v>
      </c>
      <c r="F53" s="7" t="s">
        <v>41</v>
      </c>
      <c r="G53" s="8">
        <f>SUM(Tabela1[[#This Row],[Total em Romaneio]],Tabela1[[#This Row],[Saldo Despacho]])/Tabela1[[#This Row],[Total do Pedido]]</f>
        <v>0.88005215123859193</v>
      </c>
      <c r="H53" s="42">
        <f>SUM(Tabela1[[#This Row],[Total em Romaneio]],Tabela1[[#This Row],[Saldo Despacho]])</f>
        <v>3375</v>
      </c>
      <c r="I53" s="9">
        <v>3835</v>
      </c>
      <c r="J53" s="10">
        <v>46167</v>
      </c>
      <c r="K53" s="2"/>
      <c r="L53" s="8">
        <f>Tabela1[[#This Row],[Saldo Pedido]]/Tabela1[[#This Row],[Total do Pedido]]</f>
        <v>0</v>
      </c>
      <c r="M53" s="8">
        <f>Tabela1[[#This Row],[Total Despachado]]/Tabela1[[#This Row],[Total do Pedido]]</f>
        <v>0</v>
      </c>
      <c r="N53" s="2">
        <v>46156</v>
      </c>
      <c r="O53" s="2">
        <v>46157</v>
      </c>
      <c r="P53" s="2"/>
      <c r="S53" s="1" t="s">
        <v>48</v>
      </c>
      <c r="T53" s="1" t="s">
        <v>32</v>
      </c>
      <c r="U53" s="1">
        <v>12</v>
      </c>
      <c r="V53" s="1" t="s">
        <v>33</v>
      </c>
      <c r="W53" s="1" t="s">
        <v>35</v>
      </c>
      <c r="X53" s="1" t="s">
        <v>36</v>
      </c>
      <c r="Y53" s="1" t="s">
        <v>37</v>
      </c>
      <c r="Z53" s="9">
        <v>3835</v>
      </c>
      <c r="AA53" s="9">
        <v>0</v>
      </c>
      <c r="AB53" s="9">
        <v>703.01</v>
      </c>
      <c r="AC53" s="9">
        <v>0</v>
      </c>
      <c r="AD53" s="9">
        <v>703.01</v>
      </c>
      <c r="AE53" s="9">
        <v>3375</v>
      </c>
      <c r="AF53" s="9">
        <v>0</v>
      </c>
      <c r="AG53" s="9">
        <v>3835</v>
      </c>
      <c r="AH53" s="9">
        <v>0</v>
      </c>
      <c r="AI53" s="9">
        <v>0</v>
      </c>
      <c r="AJ53" s="11">
        <v>1</v>
      </c>
    </row>
    <row r="54" spans="1:36" hidden="1" x14ac:dyDescent="0.3">
      <c r="A54" s="1" t="s">
        <v>135</v>
      </c>
      <c r="B54" s="1">
        <v>218406</v>
      </c>
      <c r="C54" s="1">
        <v>114401</v>
      </c>
      <c r="D54" s="1" t="s">
        <v>136</v>
      </c>
      <c r="E54" s="7" t="s">
        <v>63</v>
      </c>
      <c r="F54" s="7" t="s">
        <v>41</v>
      </c>
      <c r="G54" s="8">
        <f>SUM(Tabela1[[#This Row],[Total em Romaneio]],Tabela1[[#This Row],[Saldo Despacho]])/Tabela1[[#This Row],[Total do Pedido]]</f>
        <v>0.86699824997697339</v>
      </c>
      <c r="H54" s="42">
        <f>SUM(Tabela1[[#This Row],[Total em Romaneio]],Tabela1[[#This Row],[Saldo Despacho]])</f>
        <v>4706.5</v>
      </c>
      <c r="I54" s="9">
        <v>5428.5</v>
      </c>
      <c r="J54" s="10">
        <v>46181</v>
      </c>
      <c r="K54" s="2"/>
      <c r="L54" s="8">
        <f>Tabela1[[#This Row],[Saldo Pedido]]/Tabela1[[#This Row],[Total do Pedido]]</f>
        <v>0.13300175002302661</v>
      </c>
      <c r="M54" s="8">
        <f>Tabela1[[#This Row],[Total Despachado]]/Tabela1[[#This Row],[Total do Pedido]]</f>
        <v>0</v>
      </c>
      <c r="N54" s="2">
        <v>46171</v>
      </c>
      <c r="O54" s="2">
        <v>46171</v>
      </c>
      <c r="P54" s="2"/>
      <c r="S54" s="1" t="s">
        <v>48</v>
      </c>
      <c r="T54" s="1" t="s">
        <v>38</v>
      </c>
      <c r="U54" s="1">
        <v>12</v>
      </c>
      <c r="V54" s="1" t="s">
        <v>61</v>
      </c>
      <c r="W54" s="1" t="s">
        <v>35</v>
      </c>
      <c r="X54" s="1" t="s">
        <v>36</v>
      </c>
      <c r="Y54" s="1" t="s">
        <v>43</v>
      </c>
      <c r="Z54" s="9">
        <v>4706.5</v>
      </c>
      <c r="AA54" s="9">
        <v>722</v>
      </c>
      <c r="AB54" s="9">
        <v>503.3</v>
      </c>
      <c r="AC54" s="9">
        <v>0</v>
      </c>
      <c r="AD54" s="9">
        <v>503.3</v>
      </c>
      <c r="AE54" s="9">
        <v>4706.5</v>
      </c>
      <c r="AF54" s="9">
        <v>0</v>
      </c>
      <c r="AG54" s="9">
        <v>5428.5</v>
      </c>
      <c r="AH54" s="9">
        <v>0</v>
      </c>
      <c r="AI54" s="9">
        <v>0</v>
      </c>
      <c r="AJ54" s="11">
        <v>1</v>
      </c>
    </row>
    <row r="55" spans="1:36" hidden="1" x14ac:dyDescent="0.3">
      <c r="A55" s="1" t="s">
        <v>156</v>
      </c>
      <c r="B55" s="1">
        <v>218218</v>
      </c>
      <c r="C55" s="1"/>
      <c r="D55" s="1" t="s">
        <v>56</v>
      </c>
      <c r="E55" s="7" t="s">
        <v>34</v>
      </c>
      <c r="F55" s="7" t="s">
        <v>157</v>
      </c>
      <c r="G55" s="8">
        <f>SUM(Tabela1[[#This Row],[Total em Romaneio]],Tabela1[[#This Row],[Saldo Despacho]])/Tabela1[[#This Row],[Total do Pedido]]</f>
        <v>0.86230044383504889</v>
      </c>
      <c r="H55" s="42">
        <f>SUM(Tabela1[[#This Row],[Total em Romaneio]],Tabela1[[#This Row],[Saldo Despacho]])</f>
        <v>2414.9499999999998</v>
      </c>
      <c r="I55" s="9">
        <v>2800.59</v>
      </c>
      <c r="J55" s="10">
        <v>46169</v>
      </c>
      <c r="K55" s="2"/>
      <c r="L55" s="8">
        <f>Tabela1[[#This Row],[Saldo Pedido]]/Tabela1[[#This Row],[Total do Pedido]]</f>
        <v>0.1194891076523161</v>
      </c>
      <c r="M55" s="8">
        <f>Tabela1[[#This Row],[Total Despachado]]/Tabela1[[#This Row],[Total do Pedido]]</f>
        <v>0</v>
      </c>
      <c r="N55" s="2">
        <v>46164</v>
      </c>
      <c r="O55" s="2">
        <v>46164</v>
      </c>
      <c r="P55" s="2"/>
      <c r="Q55" s="10">
        <v>46169</v>
      </c>
      <c r="S55" s="1" t="s">
        <v>44</v>
      </c>
      <c r="T55" s="1" t="s">
        <v>38</v>
      </c>
      <c r="U55" s="1">
        <v>164</v>
      </c>
      <c r="V55" s="1" t="s">
        <v>39</v>
      </c>
      <c r="W55" s="1" t="s">
        <v>35</v>
      </c>
      <c r="X55" s="1" t="s">
        <v>52</v>
      </c>
      <c r="Y55" s="1" t="s">
        <v>43</v>
      </c>
      <c r="Z55" s="9">
        <v>2465.9499999999998</v>
      </c>
      <c r="AA55" s="9">
        <v>334.64</v>
      </c>
      <c r="AB55" s="9">
        <v>1280.92</v>
      </c>
      <c r="AC55" s="9">
        <v>1280.92</v>
      </c>
      <c r="AD55" s="9">
        <v>0</v>
      </c>
      <c r="AE55" s="9">
        <v>2414.9499999999998</v>
      </c>
      <c r="AF55" s="9">
        <v>0</v>
      </c>
      <c r="AG55" s="9">
        <v>2800.59</v>
      </c>
      <c r="AH55" s="9">
        <v>0</v>
      </c>
      <c r="AI55" s="9">
        <v>0</v>
      </c>
      <c r="AJ55" s="11">
        <v>1</v>
      </c>
    </row>
    <row r="56" spans="1:36" hidden="1" x14ac:dyDescent="0.3">
      <c r="A56" s="1" t="s">
        <v>59</v>
      </c>
      <c r="B56" s="1">
        <v>218321</v>
      </c>
      <c r="C56" s="1">
        <v>114348</v>
      </c>
      <c r="D56" s="1" t="s">
        <v>60</v>
      </c>
      <c r="E56" s="7" t="s">
        <v>57</v>
      </c>
      <c r="F56" s="7" t="s">
        <v>172</v>
      </c>
      <c r="G56" s="8">
        <f>SUM(Tabela1[[#This Row],[Total em Romaneio]],Tabela1[[#This Row],[Saldo Despacho]])/Tabela1[[#This Row],[Total do Pedido]]</f>
        <v>0.86185677113674319</v>
      </c>
      <c r="H56" s="42">
        <f>SUM(Tabela1[[#This Row],[Total em Romaneio]],Tabela1[[#This Row],[Saldo Despacho]])</f>
        <v>4438.3900000000003</v>
      </c>
      <c r="I56" s="9">
        <v>5149.8</v>
      </c>
      <c r="J56" s="10">
        <v>46181</v>
      </c>
      <c r="K56" s="2"/>
      <c r="L56" s="8">
        <f>Tabela1[[#This Row],[Saldo Pedido]]/Tabela1[[#This Row],[Total do Pedido]]</f>
        <v>0.13814322886325681</v>
      </c>
      <c r="M56" s="8">
        <f>Tabela1[[#This Row],[Total Despachado]]/Tabela1[[#This Row],[Total do Pedido]]</f>
        <v>0</v>
      </c>
      <c r="N56" s="2">
        <v>46169</v>
      </c>
      <c r="O56" s="2">
        <v>46170</v>
      </c>
      <c r="P56" s="2"/>
      <c r="R56" s="10">
        <v>46174</v>
      </c>
      <c r="S56" s="1" t="s">
        <v>31</v>
      </c>
      <c r="T56" s="1" t="s">
        <v>38</v>
      </c>
      <c r="U56" s="1">
        <v>12</v>
      </c>
      <c r="V56" s="1" t="s">
        <v>33</v>
      </c>
      <c r="W56" s="1" t="s">
        <v>35</v>
      </c>
      <c r="X56" s="1" t="s">
        <v>58</v>
      </c>
      <c r="Y56" s="1" t="s">
        <v>43</v>
      </c>
      <c r="Z56" s="9">
        <v>4438.3900000000003</v>
      </c>
      <c r="AA56" s="9">
        <v>711.41</v>
      </c>
      <c r="AB56" s="9">
        <v>1190.74</v>
      </c>
      <c r="AC56" s="9">
        <v>1190.74</v>
      </c>
      <c r="AD56" s="9">
        <v>0</v>
      </c>
      <c r="AE56" s="9">
        <v>4438.3900000000003</v>
      </c>
      <c r="AF56" s="9">
        <v>0</v>
      </c>
      <c r="AG56" s="9">
        <v>5149.8</v>
      </c>
      <c r="AH56" s="9">
        <v>0</v>
      </c>
      <c r="AI56" s="9">
        <v>0</v>
      </c>
      <c r="AJ56" s="11">
        <v>1</v>
      </c>
    </row>
    <row r="57" spans="1:36" hidden="1" x14ac:dyDescent="0.3">
      <c r="A57" s="1" t="s">
        <v>53</v>
      </c>
      <c r="B57" s="1">
        <v>216235</v>
      </c>
      <c r="C57" s="1"/>
      <c r="D57" s="1" t="s">
        <v>54</v>
      </c>
      <c r="E57" s="7" t="s">
        <v>63</v>
      </c>
      <c r="F57" s="7" t="s">
        <v>41</v>
      </c>
      <c r="G57" s="8">
        <f>SUM(Tabela1[[#This Row],[Total em Romaneio]],Tabela1[[#This Row],[Saldo Despacho]])/Tabela1[[#This Row],[Total do Pedido]]</f>
        <v>0.8598456331923815</v>
      </c>
      <c r="H57" s="42">
        <f>SUM(Tabela1[[#This Row],[Total em Romaneio]],Tabela1[[#This Row],[Saldo Despacho]])</f>
        <v>63548.68</v>
      </c>
      <c r="I57" s="9">
        <v>73907.08</v>
      </c>
      <c r="J57" s="10">
        <v>46105</v>
      </c>
      <c r="K57" s="2"/>
      <c r="L57" s="8">
        <f>Tabela1[[#This Row],[Saldo Pedido]]/Tabela1[[#This Row],[Total do Pedido]]</f>
        <v>0</v>
      </c>
      <c r="M57" s="8">
        <f>Tabela1[[#This Row],[Total Despachado]]/Tabela1[[#This Row],[Total do Pedido]]</f>
        <v>0.14015436680761842</v>
      </c>
      <c r="N57" s="2">
        <v>46104</v>
      </c>
      <c r="O57" s="2">
        <v>46104</v>
      </c>
      <c r="P57" s="2"/>
      <c r="S57" s="1" t="s">
        <v>31</v>
      </c>
      <c r="T57" s="1" t="s">
        <v>38</v>
      </c>
      <c r="U57" s="1">
        <v>12</v>
      </c>
      <c r="V57" s="1" t="s">
        <v>49</v>
      </c>
      <c r="W57" s="1" t="s">
        <v>35</v>
      </c>
      <c r="X57" s="1" t="s">
        <v>36</v>
      </c>
      <c r="Y57" s="1" t="s">
        <v>37</v>
      </c>
      <c r="Z57" s="9">
        <v>73907.08</v>
      </c>
      <c r="AA57" s="9">
        <v>0</v>
      </c>
      <c r="AB57" s="9">
        <v>15758</v>
      </c>
      <c r="AC57" s="9">
        <v>0</v>
      </c>
      <c r="AD57" s="9">
        <v>15758</v>
      </c>
      <c r="AE57" s="9">
        <v>0</v>
      </c>
      <c r="AF57" s="9">
        <v>73907.08</v>
      </c>
      <c r="AG57" s="9">
        <v>0</v>
      </c>
      <c r="AH57" s="9">
        <v>10358.4</v>
      </c>
      <c r="AI57" s="9">
        <v>63548.68</v>
      </c>
      <c r="AJ57" s="11">
        <v>1</v>
      </c>
    </row>
    <row r="58" spans="1:36" hidden="1" x14ac:dyDescent="0.3">
      <c r="A58" s="1" t="s">
        <v>59</v>
      </c>
      <c r="B58" s="1">
        <v>218323</v>
      </c>
      <c r="C58" s="1">
        <v>114349</v>
      </c>
      <c r="D58" s="1" t="s">
        <v>60</v>
      </c>
      <c r="E58" s="7" t="s">
        <v>57</v>
      </c>
      <c r="F58" s="7" t="s">
        <v>172</v>
      </c>
      <c r="G58" s="8">
        <f>SUM(Tabela1[[#This Row],[Total em Romaneio]],Tabela1[[#This Row],[Saldo Despacho]])/Tabela1[[#This Row],[Total do Pedido]]</f>
        <v>0.83406151695211472</v>
      </c>
      <c r="H58" s="42">
        <f>SUM(Tabela1[[#This Row],[Total em Romaneio]],Tabela1[[#This Row],[Saldo Despacho]])</f>
        <v>1431.75</v>
      </c>
      <c r="I58" s="9">
        <v>1716.6</v>
      </c>
      <c r="J58" s="10">
        <v>46181</v>
      </c>
      <c r="K58" s="2"/>
      <c r="L58" s="8">
        <f>Tabela1[[#This Row],[Saldo Pedido]]/Tabela1[[#This Row],[Total do Pedido]]</f>
        <v>0.16593848304788539</v>
      </c>
      <c r="M58" s="8">
        <f>Tabela1[[#This Row],[Total Despachado]]/Tabela1[[#This Row],[Total do Pedido]]</f>
        <v>0</v>
      </c>
      <c r="N58" s="2">
        <v>46169</v>
      </c>
      <c r="O58" s="2">
        <v>46170</v>
      </c>
      <c r="P58" s="2"/>
      <c r="R58" s="10">
        <v>46174</v>
      </c>
      <c r="S58" s="1" t="s">
        <v>31</v>
      </c>
      <c r="T58" s="1" t="s">
        <v>38</v>
      </c>
      <c r="U58" s="1">
        <v>12</v>
      </c>
      <c r="V58" s="1" t="s">
        <v>33</v>
      </c>
      <c r="W58" s="1" t="s">
        <v>35</v>
      </c>
      <c r="X58" s="1" t="s">
        <v>58</v>
      </c>
      <c r="Y58" s="1" t="s">
        <v>43</v>
      </c>
      <c r="Z58" s="9">
        <v>1431.75</v>
      </c>
      <c r="AA58" s="9">
        <v>284.85000000000002</v>
      </c>
      <c r="AB58" s="9">
        <v>456.9</v>
      </c>
      <c r="AC58" s="9">
        <v>456.9</v>
      </c>
      <c r="AD58" s="9">
        <v>0</v>
      </c>
      <c r="AE58" s="9">
        <v>1431.75</v>
      </c>
      <c r="AF58" s="9">
        <v>0</v>
      </c>
      <c r="AG58" s="9">
        <v>1716.6</v>
      </c>
      <c r="AH58" s="9">
        <v>0</v>
      </c>
      <c r="AI58" s="9">
        <v>0</v>
      </c>
      <c r="AJ58" s="11">
        <v>1</v>
      </c>
    </row>
    <row r="59" spans="1:36" hidden="1" x14ac:dyDescent="0.3">
      <c r="A59" s="1" t="s">
        <v>156</v>
      </c>
      <c r="B59" s="1">
        <v>218221</v>
      </c>
      <c r="C59" s="1"/>
      <c r="D59" s="1" t="s">
        <v>56</v>
      </c>
      <c r="E59" s="7" t="s">
        <v>34</v>
      </c>
      <c r="F59" s="7" t="s">
        <v>157</v>
      </c>
      <c r="G59" s="8">
        <f>SUM(Tabela1[[#This Row],[Total em Romaneio]],Tabela1[[#This Row],[Saldo Despacho]])/Tabela1[[#This Row],[Total do Pedido]]</f>
        <v>0.83042597959426745</v>
      </c>
      <c r="H59" s="42">
        <f>SUM(Tabela1[[#This Row],[Total em Romaneio]],Tabela1[[#This Row],[Saldo Despacho]])</f>
        <v>1045.8800000000001</v>
      </c>
      <c r="I59" s="9">
        <v>1259.45</v>
      </c>
      <c r="J59" s="10">
        <v>46174</v>
      </c>
      <c r="K59" s="2"/>
      <c r="L59" s="8">
        <f>Tabela1[[#This Row],[Saldo Pedido]]/Tabela1[[#This Row],[Total do Pedido]]</f>
        <v>0.10613362975902178</v>
      </c>
      <c r="M59" s="8">
        <f>Tabela1[[#This Row],[Total Despachado]]/Tabela1[[#This Row],[Total do Pedido]]</f>
        <v>0</v>
      </c>
      <c r="N59" s="2">
        <v>46164</v>
      </c>
      <c r="O59" s="2">
        <v>46164</v>
      </c>
      <c r="P59" s="2">
        <v>46174</v>
      </c>
      <c r="Q59" s="10">
        <v>46169</v>
      </c>
      <c r="R59" s="10">
        <v>46200</v>
      </c>
      <c r="S59" s="1" t="s">
        <v>44</v>
      </c>
      <c r="T59" s="1" t="s">
        <v>38</v>
      </c>
      <c r="U59" s="1">
        <v>164</v>
      </c>
      <c r="V59" s="1" t="s">
        <v>39</v>
      </c>
      <c r="W59" s="1" t="s">
        <v>35</v>
      </c>
      <c r="X59" s="1" t="s">
        <v>52</v>
      </c>
      <c r="Y59" s="1" t="s">
        <v>43</v>
      </c>
      <c r="Z59" s="9">
        <v>1125.78</v>
      </c>
      <c r="AA59" s="9">
        <v>133.66999999999999</v>
      </c>
      <c r="AB59" s="9">
        <v>802.06</v>
      </c>
      <c r="AC59" s="9">
        <v>802.06</v>
      </c>
      <c r="AD59" s="9">
        <v>0</v>
      </c>
      <c r="AE59" s="9">
        <v>1045.8800000000001</v>
      </c>
      <c r="AF59" s="9">
        <v>0</v>
      </c>
      <c r="AG59" s="9">
        <v>1259.45</v>
      </c>
      <c r="AH59" s="9">
        <v>0</v>
      </c>
      <c r="AI59" s="9">
        <v>0</v>
      </c>
      <c r="AJ59" s="11">
        <v>1</v>
      </c>
    </row>
    <row r="60" spans="1:36" hidden="1" x14ac:dyDescent="0.3">
      <c r="A60" s="1" t="s">
        <v>53</v>
      </c>
      <c r="B60" s="1">
        <v>217141</v>
      </c>
      <c r="C60" s="1">
        <v>113814</v>
      </c>
      <c r="D60" s="1" t="s">
        <v>54</v>
      </c>
      <c r="E60" s="7" t="s">
        <v>57</v>
      </c>
      <c r="F60" s="7" t="s">
        <v>76</v>
      </c>
      <c r="G60" s="8">
        <f>SUM(Tabela1[[#This Row],[Total em Romaneio]],Tabela1[[#This Row],[Saldo Despacho]])/Tabela1[[#This Row],[Total do Pedido]]</f>
        <v>0.79390797148412173</v>
      </c>
      <c r="H60" s="42">
        <f>SUM(Tabela1[[#This Row],[Total em Romaneio]],Tabela1[[#This Row],[Saldo Despacho]])</f>
        <v>122.5</v>
      </c>
      <c r="I60" s="9">
        <v>154.30000000000001</v>
      </c>
      <c r="J60" s="10">
        <v>46139</v>
      </c>
      <c r="K60" s="2"/>
      <c r="L60" s="8">
        <f>Tabela1[[#This Row],[Saldo Pedido]]/Tabela1[[#This Row],[Total do Pedido]]</f>
        <v>0.20609202851587816</v>
      </c>
      <c r="M60" s="8">
        <f>Tabela1[[#This Row],[Total Despachado]]/Tabela1[[#This Row],[Total do Pedido]]</f>
        <v>0</v>
      </c>
      <c r="N60" s="2">
        <v>46127</v>
      </c>
      <c r="O60" s="2">
        <v>46127</v>
      </c>
      <c r="P60" s="2"/>
      <c r="Q60" s="10">
        <v>46140</v>
      </c>
      <c r="S60" s="1" t="s">
        <v>31</v>
      </c>
      <c r="T60" s="1" t="s">
        <v>38</v>
      </c>
      <c r="U60" s="1">
        <v>12</v>
      </c>
      <c r="V60" s="1" t="s">
        <v>33</v>
      </c>
      <c r="W60" s="1" t="s">
        <v>35</v>
      </c>
      <c r="X60" s="1" t="s">
        <v>51</v>
      </c>
      <c r="Y60" s="1" t="s">
        <v>43</v>
      </c>
      <c r="Z60" s="9">
        <v>122.5</v>
      </c>
      <c r="AA60" s="9">
        <v>31.8</v>
      </c>
      <c r="AB60" s="9">
        <v>89.66</v>
      </c>
      <c r="AC60" s="9">
        <v>74.099999999999994</v>
      </c>
      <c r="AD60" s="9">
        <v>15.56</v>
      </c>
      <c r="AE60" s="9">
        <v>122.5</v>
      </c>
      <c r="AF60" s="9">
        <v>0</v>
      </c>
      <c r="AG60" s="9">
        <v>154.30000000000001</v>
      </c>
      <c r="AH60" s="9">
        <v>0</v>
      </c>
      <c r="AI60" s="9">
        <v>0</v>
      </c>
      <c r="AJ60" s="11">
        <v>1</v>
      </c>
    </row>
    <row r="61" spans="1:36" hidden="1" x14ac:dyDescent="0.3">
      <c r="A61" s="1" t="s">
        <v>53</v>
      </c>
      <c r="B61" s="1">
        <v>217924</v>
      </c>
      <c r="C61" s="1"/>
      <c r="D61" s="1" t="s">
        <v>54</v>
      </c>
      <c r="E61" s="7" t="s">
        <v>63</v>
      </c>
      <c r="F61" s="7" t="s">
        <v>41</v>
      </c>
      <c r="G61" s="8">
        <f>SUM(Tabela1[[#This Row],[Total em Romaneio]],Tabela1[[#This Row],[Saldo Despacho]])/Tabela1[[#This Row],[Total do Pedido]]</f>
        <v>0.78798215850873843</v>
      </c>
      <c r="H61" s="42">
        <f>SUM(Tabela1[[#This Row],[Total em Romaneio]],Tabela1[[#This Row],[Saldo Despacho]])</f>
        <v>88175.96</v>
      </c>
      <c r="I61" s="9">
        <v>111900.96</v>
      </c>
      <c r="J61" s="10">
        <v>46175</v>
      </c>
      <c r="K61" s="2"/>
      <c r="L61" s="8">
        <f>Tabela1[[#This Row],[Saldo Pedido]]/Tabela1[[#This Row],[Total do Pedido]]</f>
        <v>0.21201784149126154</v>
      </c>
      <c r="M61" s="8">
        <f>Tabela1[[#This Row],[Total Despachado]]/Tabela1[[#This Row],[Total do Pedido]]</f>
        <v>0</v>
      </c>
      <c r="N61" s="2">
        <v>46155</v>
      </c>
      <c r="O61" s="2">
        <v>46168</v>
      </c>
      <c r="P61" s="2">
        <v>46175</v>
      </c>
      <c r="Q61" s="10">
        <v>46171</v>
      </c>
      <c r="R61" s="10">
        <v>46176</v>
      </c>
      <c r="S61" s="1" t="s">
        <v>31</v>
      </c>
      <c r="T61" s="1" t="s">
        <v>133</v>
      </c>
      <c r="U61" s="1">
        <v>12</v>
      </c>
      <c r="V61" s="1" t="s">
        <v>49</v>
      </c>
      <c r="W61" s="1" t="s">
        <v>35</v>
      </c>
      <c r="X61" s="1" t="s">
        <v>52</v>
      </c>
      <c r="Y61" s="1" t="s">
        <v>43</v>
      </c>
      <c r="Z61" s="9">
        <v>88175.96</v>
      </c>
      <c r="AA61" s="9">
        <v>23725</v>
      </c>
      <c r="AB61" s="9">
        <v>58349.63</v>
      </c>
      <c r="AC61" s="9">
        <v>58349.63</v>
      </c>
      <c r="AD61" s="9">
        <v>0</v>
      </c>
      <c r="AE61" s="9">
        <v>88175.96</v>
      </c>
      <c r="AF61" s="9">
        <v>0</v>
      </c>
      <c r="AG61" s="9">
        <v>111900.96</v>
      </c>
      <c r="AH61" s="9">
        <v>0</v>
      </c>
      <c r="AI61" s="9">
        <v>0</v>
      </c>
      <c r="AJ61" s="11">
        <v>1</v>
      </c>
    </row>
    <row r="62" spans="1:36" x14ac:dyDescent="0.3">
      <c r="A62" s="1" t="s">
        <v>64</v>
      </c>
      <c r="B62" s="1">
        <v>218230</v>
      </c>
      <c r="C62" s="1"/>
      <c r="D62" s="1" t="s">
        <v>65</v>
      </c>
      <c r="E62" s="7" t="s">
        <v>57</v>
      </c>
      <c r="F62" s="7" t="s">
        <v>77</v>
      </c>
      <c r="G62" s="8">
        <f>SUM(Tabela1[[#This Row],[Total em Romaneio]],Tabela1[[#This Row],[Saldo Despacho]])/Tabela1[[#This Row],[Total do Pedido]]</f>
        <v>0.78411068559002772</v>
      </c>
      <c r="H62" s="42">
        <f>SUM(Tabela1[[#This Row],[Total em Romaneio]],Tabela1[[#This Row],[Saldo Despacho]])</f>
        <v>13075.03</v>
      </c>
      <c r="I62" s="9">
        <v>16674.98</v>
      </c>
      <c r="J62" s="10">
        <v>46178</v>
      </c>
      <c r="K62" s="2"/>
      <c r="L62" s="8">
        <f>Tabela1[[#This Row],[Saldo Pedido]]/Tabela1[[#This Row],[Total do Pedido]]</f>
        <v>0.2158893144099723</v>
      </c>
      <c r="M62" s="8">
        <f>Tabela1[[#This Row],[Total Despachado]]/Tabela1[[#This Row],[Total do Pedido]]</f>
        <v>0</v>
      </c>
      <c r="N62" s="2">
        <v>46164</v>
      </c>
      <c r="O62" s="2">
        <v>46168</v>
      </c>
      <c r="P62" s="2"/>
      <c r="Q62" s="10">
        <v>46171</v>
      </c>
      <c r="S62" s="1" t="s">
        <v>66</v>
      </c>
      <c r="T62" s="1" t="s">
        <v>32</v>
      </c>
      <c r="U62" s="1">
        <v>12</v>
      </c>
      <c r="V62" s="1" t="s">
        <v>39</v>
      </c>
      <c r="W62" s="1" t="s">
        <v>35</v>
      </c>
      <c r="X62" s="1" t="s">
        <v>52</v>
      </c>
      <c r="Y62" s="1" t="s">
        <v>43</v>
      </c>
      <c r="Z62" s="9">
        <v>13075.03</v>
      </c>
      <c r="AA62" s="9">
        <v>3599.95</v>
      </c>
      <c r="AB62" s="9">
        <v>2389.61</v>
      </c>
      <c r="AC62" s="9">
        <v>135.34</v>
      </c>
      <c r="AD62" s="9">
        <v>2254.27</v>
      </c>
      <c r="AE62" s="9">
        <v>13075.03</v>
      </c>
      <c r="AF62" s="9">
        <v>0</v>
      </c>
      <c r="AG62" s="9">
        <v>16674.98</v>
      </c>
      <c r="AH62" s="9">
        <v>0</v>
      </c>
      <c r="AI62" s="9">
        <v>0</v>
      </c>
      <c r="AJ62" s="11">
        <v>1</v>
      </c>
    </row>
    <row r="63" spans="1:36" hidden="1" x14ac:dyDescent="0.3">
      <c r="A63" s="1" t="s">
        <v>53</v>
      </c>
      <c r="B63" s="1">
        <v>217130</v>
      </c>
      <c r="C63" s="1">
        <v>113810</v>
      </c>
      <c r="D63" s="1" t="s">
        <v>54</v>
      </c>
      <c r="E63" s="7" t="s">
        <v>57</v>
      </c>
      <c r="F63" s="7" t="s">
        <v>76</v>
      </c>
      <c r="G63" s="8">
        <f>SUM(Tabela1[[#This Row],[Total em Romaneio]],Tabela1[[#This Row],[Saldo Despacho]])/Tabela1[[#This Row],[Total do Pedido]]</f>
        <v>0.76929773650609401</v>
      </c>
      <c r="H63" s="42">
        <f>SUM(Tabela1[[#This Row],[Total em Romaneio]],Tabela1[[#This Row],[Saldo Despacho]])</f>
        <v>265.10000000000002</v>
      </c>
      <c r="I63" s="9">
        <v>344.6</v>
      </c>
      <c r="J63" s="10">
        <v>46139</v>
      </c>
      <c r="K63" s="2"/>
      <c r="L63" s="8">
        <f>Tabela1[[#This Row],[Saldo Pedido]]/Tabela1[[#This Row],[Total do Pedido]]</f>
        <v>0.23070226349390596</v>
      </c>
      <c r="M63" s="8">
        <f>Tabela1[[#This Row],[Total Despachado]]/Tabela1[[#This Row],[Total do Pedido]]</f>
        <v>0</v>
      </c>
      <c r="N63" s="2">
        <v>46127</v>
      </c>
      <c r="O63" s="2">
        <v>46127</v>
      </c>
      <c r="P63" s="2"/>
      <c r="Q63" s="10">
        <v>46140</v>
      </c>
      <c r="S63" s="1" t="s">
        <v>31</v>
      </c>
      <c r="T63" s="1" t="s">
        <v>38</v>
      </c>
      <c r="U63" s="1">
        <v>12</v>
      </c>
      <c r="V63" s="1" t="s">
        <v>33</v>
      </c>
      <c r="W63" s="1" t="s">
        <v>35</v>
      </c>
      <c r="X63" s="1" t="s">
        <v>51</v>
      </c>
      <c r="Y63" s="1" t="s">
        <v>43</v>
      </c>
      <c r="Z63" s="9">
        <v>265.10000000000002</v>
      </c>
      <c r="AA63" s="9">
        <v>79.5</v>
      </c>
      <c r="AB63" s="9">
        <v>151.22</v>
      </c>
      <c r="AC63" s="9">
        <v>112.32</v>
      </c>
      <c r="AD63" s="9">
        <v>38.9</v>
      </c>
      <c r="AE63" s="9">
        <v>265.10000000000002</v>
      </c>
      <c r="AF63" s="9">
        <v>0</v>
      </c>
      <c r="AG63" s="9">
        <v>344.6</v>
      </c>
      <c r="AH63" s="9">
        <v>0</v>
      </c>
      <c r="AI63" s="9">
        <v>0</v>
      </c>
      <c r="AJ63" s="11">
        <v>1</v>
      </c>
    </row>
    <row r="64" spans="1:36" hidden="1" x14ac:dyDescent="0.3">
      <c r="A64" s="1" t="s">
        <v>121</v>
      </c>
      <c r="B64" s="1">
        <v>217235</v>
      </c>
      <c r="C64" s="1"/>
      <c r="D64" s="1" t="s">
        <v>56</v>
      </c>
      <c r="E64" s="7" t="s">
        <v>57</v>
      </c>
      <c r="F64" s="7" t="s">
        <v>87</v>
      </c>
      <c r="G64" s="8">
        <f>SUM(Tabela1[[#This Row],[Total em Romaneio]],Tabela1[[#This Row],[Saldo Despacho]])/Tabela1[[#This Row],[Total do Pedido]]</f>
        <v>0.7661483523934367</v>
      </c>
      <c r="H64" s="42">
        <f>SUM(Tabela1[[#This Row],[Total em Romaneio]],Tabela1[[#This Row],[Saldo Despacho]])</f>
        <v>338.99</v>
      </c>
      <c r="I64" s="9">
        <v>442.46</v>
      </c>
      <c r="J64" s="10">
        <v>46134</v>
      </c>
      <c r="K64" s="2"/>
      <c r="L64" s="8">
        <f>Tabela1[[#This Row],[Saldo Pedido]]/Tabela1[[#This Row],[Total do Pedido]]</f>
        <v>0</v>
      </c>
      <c r="M64" s="8">
        <f>Tabela1[[#This Row],[Total Despachado]]/Tabela1[[#This Row],[Total do Pedido]]</f>
        <v>0.23387424851964023</v>
      </c>
      <c r="N64" s="2">
        <v>46129</v>
      </c>
      <c r="O64" s="2">
        <v>46129</v>
      </c>
      <c r="P64" s="2"/>
      <c r="Q64" s="10">
        <v>46129</v>
      </c>
      <c r="S64" s="1" t="s">
        <v>44</v>
      </c>
      <c r="T64" s="1" t="s">
        <v>133</v>
      </c>
      <c r="U64" s="1">
        <v>208</v>
      </c>
      <c r="V64" s="1" t="s">
        <v>39</v>
      </c>
      <c r="W64" s="1" t="s">
        <v>35</v>
      </c>
      <c r="X64" s="1" t="s">
        <v>51</v>
      </c>
      <c r="Y64" s="1" t="s">
        <v>43</v>
      </c>
      <c r="Z64" s="9">
        <v>442.47</v>
      </c>
      <c r="AA64" s="9">
        <v>0</v>
      </c>
      <c r="AB64" s="9">
        <v>15.6</v>
      </c>
      <c r="AC64" s="9">
        <v>15.6</v>
      </c>
      <c r="AD64" s="9">
        <v>0</v>
      </c>
      <c r="AE64" s="9">
        <v>0</v>
      </c>
      <c r="AF64" s="9">
        <v>442.47</v>
      </c>
      <c r="AG64" s="9">
        <v>0</v>
      </c>
      <c r="AH64" s="9">
        <v>103.48</v>
      </c>
      <c r="AI64" s="9">
        <v>338.99</v>
      </c>
      <c r="AJ64" s="11">
        <v>1</v>
      </c>
    </row>
    <row r="65" spans="1:36" hidden="1" x14ac:dyDescent="0.3">
      <c r="A65" s="1" t="s">
        <v>53</v>
      </c>
      <c r="B65" s="1">
        <v>218338</v>
      </c>
      <c r="C65" s="1"/>
      <c r="D65" s="1" t="s">
        <v>54</v>
      </c>
      <c r="E65" s="7" t="s">
        <v>57</v>
      </c>
      <c r="F65" s="7" t="s">
        <v>77</v>
      </c>
      <c r="G65" s="8">
        <f>SUM(Tabela1[[#This Row],[Total em Romaneio]],Tabela1[[#This Row],[Saldo Despacho]])/Tabela1[[#This Row],[Total do Pedido]]</f>
        <v>0.74939316030622061</v>
      </c>
      <c r="H65" s="42">
        <f>SUM(Tabela1[[#This Row],[Total em Romaneio]],Tabela1[[#This Row],[Saldo Despacho]])</f>
        <v>2608.75</v>
      </c>
      <c r="I65" s="9">
        <v>3481.15</v>
      </c>
      <c r="J65" s="10">
        <v>46176</v>
      </c>
      <c r="K65" s="2"/>
      <c r="L65" s="8">
        <f>Tabela1[[#This Row],[Saldo Pedido]]/Tabela1[[#This Row],[Total do Pedido]]</f>
        <v>0.25060683969377934</v>
      </c>
      <c r="M65" s="8">
        <f>Tabela1[[#This Row],[Total Despachado]]/Tabela1[[#This Row],[Total do Pedido]]</f>
        <v>0</v>
      </c>
      <c r="N65" s="2">
        <v>46170</v>
      </c>
      <c r="O65" s="2">
        <v>46170</v>
      </c>
      <c r="P65" s="2"/>
      <c r="R65" s="10">
        <v>46174</v>
      </c>
      <c r="S65" s="1" t="s">
        <v>31</v>
      </c>
      <c r="T65" s="1" t="s">
        <v>38</v>
      </c>
      <c r="U65" s="1">
        <v>12</v>
      </c>
      <c r="V65" s="1" t="s">
        <v>49</v>
      </c>
      <c r="W65" s="1" t="s">
        <v>35</v>
      </c>
      <c r="X65" s="1" t="s">
        <v>58</v>
      </c>
      <c r="Y65" s="1" t="s">
        <v>43</v>
      </c>
      <c r="Z65" s="9">
        <v>2608.75</v>
      </c>
      <c r="AA65" s="9">
        <v>872.4</v>
      </c>
      <c r="AB65" s="9">
        <v>590.79999999999995</v>
      </c>
      <c r="AC65" s="9">
        <v>590.79999999999995</v>
      </c>
      <c r="AD65" s="9">
        <v>0</v>
      </c>
      <c r="AE65" s="9">
        <v>2608.75</v>
      </c>
      <c r="AF65" s="9">
        <v>0</v>
      </c>
      <c r="AG65" s="9">
        <v>3481.15</v>
      </c>
      <c r="AH65" s="9">
        <v>0</v>
      </c>
      <c r="AI65" s="9">
        <v>0</v>
      </c>
      <c r="AJ65" s="11">
        <v>1</v>
      </c>
    </row>
    <row r="66" spans="1:36" hidden="1" x14ac:dyDescent="0.3">
      <c r="A66" s="1" t="s">
        <v>55</v>
      </c>
      <c r="B66" s="1">
        <v>218295</v>
      </c>
      <c r="C66" s="1"/>
      <c r="D66" s="1" t="s">
        <v>56</v>
      </c>
      <c r="E66" s="7" t="s">
        <v>57</v>
      </c>
      <c r="F66" s="7" t="s">
        <v>114</v>
      </c>
      <c r="G66" s="8">
        <f>SUM(Tabela1[[#This Row],[Total em Romaneio]],Tabela1[[#This Row],[Saldo Despacho]])/Tabela1[[#This Row],[Total do Pedido]]</f>
        <v>0.74828360076319167</v>
      </c>
      <c r="H66" s="42">
        <f>SUM(Tabela1[[#This Row],[Total em Romaneio]],Tabela1[[#This Row],[Saldo Despacho]])</f>
        <v>1913.87</v>
      </c>
      <c r="I66" s="9">
        <v>2557.6799999999998</v>
      </c>
      <c r="J66" s="10">
        <v>46178</v>
      </c>
      <c r="K66" s="2"/>
      <c r="L66" s="8">
        <f>Tabela1[[#This Row],[Saldo Pedido]]/Tabela1[[#This Row],[Total do Pedido]]</f>
        <v>0.25171639923680833</v>
      </c>
      <c r="M66" s="8">
        <f>Tabela1[[#This Row],[Total Despachado]]/Tabela1[[#This Row],[Total do Pedido]]</f>
        <v>0</v>
      </c>
      <c r="N66" s="2">
        <v>46169</v>
      </c>
      <c r="O66" s="2">
        <v>46171</v>
      </c>
      <c r="P66" s="2"/>
      <c r="R66" s="10">
        <v>46171</v>
      </c>
      <c r="S66" s="1" t="s">
        <v>44</v>
      </c>
      <c r="T66" s="1" t="s">
        <v>38</v>
      </c>
      <c r="U66" s="1">
        <v>191</v>
      </c>
      <c r="V66" s="1" t="s">
        <v>39</v>
      </c>
      <c r="W66" s="1" t="s">
        <v>35</v>
      </c>
      <c r="X66" s="1" t="s">
        <v>58</v>
      </c>
      <c r="Y66" s="1" t="s">
        <v>43</v>
      </c>
      <c r="Z66" s="9">
        <v>1913.87</v>
      </c>
      <c r="AA66" s="9">
        <v>643.80999999999995</v>
      </c>
      <c r="AB66" s="9">
        <v>502.04</v>
      </c>
      <c r="AC66" s="9">
        <v>502.04</v>
      </c>
      <c r="AD66" s="9">
        <v>0</v>
      </c>
      <c r="AE66" s="9">
        <v>1913.87</v>
      </c>
      <c r="AF66" s="9">
        <v>0</v>
      </c>
      <c r="AG66" s="9">
        <v>2557.6799999999998</v>
      </c>
      <c r="AH66" s="9">
        <v>0</v>
      </c>
      <c r="AI66" s="9">
        <v>0</v>
      </c>
      <c r="AJ66" s="11">
        <v>1</v>
      </c>
    </row>
    <row r="67" spans="1:36" hidden="1" x14ac:dyDescent="0.3">
      <c r="A67" s="1" t="s">
        <v>151</v>
      </c>
      <c r="B67" s="1">
        <v>218155</v>
      </c>
      <c r="C67" s="1"/>
      <c r="D67" s="1" t="s">
        <v>56</v>
      </c>
      <c r="E67" s="7" t="s">
        <v>57</v>
      </c>
      <c r="F67" s="7" t="s">
        <v>146</v>
      </c>
      <c r="G67" s="8">
        <f>SUM(Tabela1[[#This Row],[Total em Romaneio]],Tabela1[[#This Row],[Saldo Despacho]])/Tabela1[[#This Row],[Total do Pedido]]</f>
        <v>0.74583499175527368</v>
      </c>
      <c r="H67" s="42">
        <f>SUM(Tabela1[[#This Row],[Total em Romaneio]],Tabela1[[#This Row],[Saldo Despacho]])</f>
        <v>262.33999999999997</v>
      </c>
      <c r="I67" s="9">
        <v>351.74</v>
      </c>
      <c r="J67" s="10">
        <v>46178</v>
      </c>
      <c r="K67" s="2"/>
      <c r="L67" s="8">
        <f>Tabela1[[#This Row],[Saldo Pedido]]/Tabela1[[#This Row],[Total do Pedido]]</f>
        <v>0.25416500824472621</v>
      </c>
      <c r="M67" s="8">
        <f>Tabela1[[#This Row],[Total Despachado]]/Tabela1[[#This Row],[Total do Pedido]]</f>
        <v>0</v>
      </c>
      <c r="N67" s="2">
        <v>46163</v>
      </c>
      <c r="O67" s="2">
        <v>46163</v>
      </c>
      <c r="P67" s="2"/>
      <c r="Q67" s="10">
        <v>46167</v>
      </c>
      <c r="R67" s="10">
        <v>46167</v>
      </c>
      <c r="S67" s="1" t="s">
        <v>44</v>
      </c>
      <c r="T67" s="1" t="s">
        <v>32</v>
      </c>
      <c r="U67" s="1">
        <v>191</v>
      </c>
      <c r="V67" s="1" t="s">
        <v>39</v>
      </c>
      <c r="W67" s="1" t="s">
        <v>35</v>
      </c>
      <c r="X67" s="1" t="s">
        <v>58</v>
      </c>
      <c r="Y67" s="1" t="s">
        <v>43</v>
      </c>
      <c r="Z67" s="9">
        <v>262.33999999999997</v>
      </c>
      <c r="AA67" s="9">
        <v>89.4</v>
      </c>
      <c r="AB67" s="9">
        <v>89.4</v>
      </c>
      <c r="AC67" s="9">
        <v>89.4</v>
      </c>
      <c r="AD67" s="9">
        <v>0</v>
      </c>
      <c r="AE67" s="9">
        <v>262.33999999999997</v>
      </c>
      <c r="AF67" s="9">
        <v>0</v>
      </c>
      <c r="AG67" s="9">
        <v>351.74</v>
      </c>
      <c r="AH67" s="9">
        <v>0</v>
      </c>
      <c r="AI67" s="9">
        <v>0</v>
      </c>
      <c r="AJ67" s="11">
        <v>1</v>
      </c>
    </row>
    <row r="68" spans="1:36" hidden="1" x14ac:dyDescent="0.3">
      <c r="A68" s="1" t="s">
        <v>53</v>
      </c>
      <c r="B68" s="1">
        <v>217925</v>
      </c>
      <c r="C68" s="1"/>
      <c r="D68" s="1" t="s">
        <v>54</v>
      </c>
      <c r="E68" s="7" t="s">
        <v>63</v>
      </c>
      <c r="F68" s="7" t="s">
        <v>41</v>
      </c>
      <c r="G68" s="8">
        <f>SUM(Tabela1[[#This Row],[Total em Romaneio]],Tabela1[[#This Row],[Saldo Despacho]])/Tabela1[[#This Row],[Total do Pedido]]</f>
        <v>0.74152160917478993</v>
      </c>
      <c r="H68" s="42">
        <f>SUM(Tabela1[[#This Row],[Total em Romaneio]],Tabela1[[#This Row],[Saldo Despacho]])</f>
        <v>68062.17</v>
      </c>
      <c r="I68" s="9">
        <v>91787.17</v>
      </c>
      <c r="J68" s="10">
        <v>46182</v>
      </c>
      <c r="K68" s="2"/>
      <c r="L68" s="8">
        <f>Tabela1[[#This Row],[Saldo Pedido]]/Tabela1[[#This Row],[Total do Pedido]]</f>
        <v>0.25847839082521012</v>
      </c>
      <c r="M68" s="8">
        <f>Tabela1[[#This Row],[Total Despachado]]/Tabela1[[#This Row],[Total do Pedido]]</f>
        <v>0</v>
      </c>
      <c r="N68" s="2">
        <v>46155</v>
      </c>
      <c r="O68" s="2">
        <v>46168</v>
      </c>
      <c r="P68" s="2"/>
      <c r="Q68" s="10">
        <v>46171</v>
      </c>
      <c r="R68" s="10">
        <v>46176</v>
      </c>
      <c r="S68" s="1" t="s">
        <v>31</v>
      </c>
      <c r="T68" s="1" t="s">
        <v>133</v>
      </c>
      <c r="U68" s="1">
        <v>12</v>
      </c>
      <c r="V68" s="1" t="s">
        <v>49</v>
      </c>
      <c r="W68" s="1" t="s">
        <v>35</v>
      </c>
      <c r="X68" s="1" t="s">
        <v>52</v>
      </c>
      <c r="Y68" s="1" t="s">
        <v>43</v>
      </c>
      <c r="Z68" s="9">
        <v>68062.17</v>
      </c>
      <c r="AA68" s="9">
        <v>23725</v>
      </c>
      <c r="AB68" s="9">
        <v>51211.66</v>
      </c>
      <c r="AC68" s="9">
        <v>51211.66</v>
      </c>
      <c r="AD68" s="9">
        <v>0</v>
      </c>
      <c r="AE68" s="9">
        <v>68062.17</v>
      </c>
      <c r="AF68" s="9">
        <v>0</v>
      </c>
      <c r="AG68" s="9">
        <v>91787.17</v>
      </c>
      <c r="AH68" s="9">
        <v>0</v>
      </c>
      <c r="AI68" s="9">
        <v>0</v>
      </c>
      <c r="AJ68" s="11">
        <v>1</v>
      </c>
    </row>
    <row r="69" spans="1:36" hidden="1" x14ac:dyDescent="0.3">
      <c r="A69" s="1" t="s">
        <v>59</v>
      </c>
      <c r="B69" s="1">
        <v>218327</v>
      </c>
      <c r="C69" s="1">
        <v>114350</v>
      </c>
      <c r="D69" s="1" t="s">
        <v>60</v>
      </c>
      <c r="E69" s="7" t="s">
        <v>34</v>
      </c>
      <c r="F69" s="7" t="s">
        <v>170</v>
      </c>
      <c r="G69" s="8">
        <f>SUM(Tabela1[[#This Row],[Total em Romaneio]],Tabela1[[#This Row],[Saldo Despacho]])/Tabela1[[#This Row],[Total do Pedido]]</f>
        <v>0.65772092891816436</v>
      </c>
      <c r="H69" s="42">
        <f>SUM(Tabela1[[#This Row],[Total em Romaneio]],Tabela1[[#This Row],[Saldo Despacho]])</f>
        <v>15593.82</v>
      </c>
      <c r="I69" s="9">
        <v>23708.87</v>
      </c>
      <c r="J69" s="10">
        <v>46181</v>
      </c>
      <c r="K69" s="2"/>
      <c r="L69" s="8">
        <f>Tabela1[[#This Row],[Saldo Pedido]]/Tabela1[[#This Row],[Total do Pedido]]</f>
        <v>0.34227907108183564</v>
      </c>
      <c r="M69" s="8">
        <f>Tabela1[[#This Row],[Total Despachado]]/Tabela1[[#This Row],[Total do Pedido]]</f>
        <v>0</v>
      </c>
      <c r="N69" s="2">
        <v>46169</v>
      </c>
      <c r="O69" s="2">
        <v>46170</v>
      </c>
      <c r="P69" s="2"/>
      <c r="S69" s="1" t="s">
        <v>31</v>
      </c>
      <c r="T69" s="1" t="s">
        <v>38</v>
      </c>
      <c r="U69" s="1">
        <v>12</v>
      </c>
      <c r="V69" s="1" t="s">
        <v>33</v>
      </c>
      <c r="W69" s="1" t="s">
        <v>35</v>
      </c>
      <c r="X69" s="1" t="s">
        <v>36</v>
      </c>
      <c r="Y69" s="1" t="s">
        <v>43</v>
      </c>
      <c r="Z69" s="9">
        <v>15593.82</v>
      </c>
      <c r="AA69" s="9">
        <v>8115.05</v>
      </c>
      <c r="AB69" s="9">
        <v>3077.02</v>
      </c>
      <c r="AC69" s="9">
        <v>218</v>
      </c>
      <c r="AD69" s="9">
        <v>2859.02</v>
      </c>
      <c r="AE69" s="9">
        <v>15593.82</v>
      </c>
      <c r="AF69" s="9">
        <v>0</v>
      </c>
      <c r="AG69" s="9">
        <v>23708.87</v>
      </c>
      <c r="AH69" s="9">
        <v>0</v>
      </c>
      <c r="AI69" s="9">
        <v>0</v>
      </c>
      <c r="AJ69" s="11">
        <v>1</v>
      </c>
    </row>
    <row r="70" spans="1:36" x14ac:dyDescent="0.3">
      <c r="A70" s="1" t="s">
        <v>64</v>
      </c>
      <c r="B70" s="1">
        <v>218271</v>
      </c>
      <c r="C70" s="1"/>
      <c r="D70" s="1" t="s">
        <v>65</v>
      </c>
      <c r="E70" s="7" t="s">
        <v>63</v>
      </c>
      <c r="F70" s="7" t="s">
        <v>41</v>
      </c>
      <c r="G70" s="8">
        <f>SUM(Tabela1[[#This Row],[Total em Romaneio]],Tabela1[[#This Row],[Saldo Despacho]])/Tabela1[[#This Row],[Total do Pedido]]</f>
        <v>0.65377393916635373</v>
      </c>
      <c r="H70" s="42">
        <f>SUM(Tabela1[[#This Row],[Total em Romaneio]],Tabela1[[#This Row],[Saldo Despacho]])</f>
        <v>34820</v>
      </c>
      <c r="I70" s="9">
        <v>53260</v>
      </c>
      <c r="J70" s="10">
        <v>46178</v>
      </c>
      <c r="K70" s="2"/>
      <c r="L70" s="8">
        <f>Tabela1[[#This Row],[Saldo Pedido]]/Tabela1[[#This Row],[Total do Pedido]]</f>
        <v>0.34622606083364627</v>
      </c>
      <c r="M70" s="8">
        <f>Tabela1[[#This Row],[Total Despachado]]/Tabela1[[#This Row],[Total do Pedido]]</f>
        <v>0</v>
      </c>
      <c r="N70" s="2">
        <v>46168</v>
      </c>
      <c r="O70" s="2">
        <v>46169</v>
      </c>
      <c r="P70" s="2"/>
      <c r="Q70" s="10">
        <v>46171</v>
      </c>
      <c r="R70" s="10">
        <v>46175</v>
      </c>
      <c r="S70" s="1" t="s">
        <v>66</v>
      </c>
      <c r="T70" s="1" t="s">
        <v>32</v>
      </c>
      <c r="U70" s="1">
        <v>12</v>
      </c>
      <c r="V70" s="1" t="s">
        <v>49</v>
      </c>
      <c r="W70" s="1" t="s">
        <v>35</v>
      </c>
      <c r="X70" s="1" t="s">
        <v>52</v>
      </c>
      <c r="Y70" s="1" t="s">
        <v>43</v>
      </c>
      <c r="Z70" s="9">
        <v>34820</v>
      </c>
      <c r="AA70" s="9">
        <v>18440</v>
      </c>
      <c r="AB70" s="9">
        <v>22443</v>
      </c>
      <c r="AC70" s="9">
        <v>22443</v>
      </c>
      <c r="AD70" s="9">
        <v>0</v>
      </c>
      <c r="AE70" s="9">
        <v>34820</v>
      </c>
      <c r="AF70" s="9">
        <v>0</v>
      </c>
      <c r="AG70" s="9">
        <v>53260</v>
      </c>
      <c r="AH70" s="9">
        <v>0</v>
      </c>
      <c r="AI70" s="9">
        <v>0</v>
      </c>
      <c r="AJ70" s="11">
        <v>1</v>
      </c>
    </row>
    <row r="71" spans="1:36" hidden="1" x14ac:dyDescent="0.3">
      <c r="A71" s="1" t="s">
        <v>159</v>
      </c>
      <c r="B71" s="1">
        <v>218287</v>
      </c>
      <c r="C71" s="1"/>
      <c r="D71" s="1" t="s">
        <v>161</v>
      </c>
      <c r="E71" s="7" t="s">
        <v>63</v>
      </c>
      <c r="F71" s="7" t="s">
        <v>41</v>
      </c>
      <c r="G71" s="8">
        <f>SUM(Tabela1[[#This Row],[Total em Romaneio]],Tabela1[[#This Row],[Saldo Despacho]])/Tabela1[[#This Row],[Total do Pedido]]</f>
        <v>0.64608681492100872</v>
      </c>
      <c r="H71" s="42">
        <f>SUM(Tabela1[[#This Row],[Total em Romaneio]],Tabela1[[#This Row],[Saldo Despacho]])</f>
        <v>66933.36</v>
      </c>
      <c r="I71" s="9">
        <v>103598.09</v>
      </c>
      <c r="J71" s="10">
        <v>46176</v>
      </c>
      <c r="K71" s="2"/>
      <c r="L71" s="8">
        <f>Tabela1[[#This Row],[Saldo Pedido]]/Tabela1[[#This Row],[Total do Pedido]]</f>
        <v>0.35391318507899139</v>
      </c>
      <c r="M71" s="8">
        <f>Tabela1[[#This Row],[Total Despachado]]/Tabela1[[#This Row],[Total do Pedido]]</f>
        <v>0</v>
      </c>
      <c r="N71" s="2">
        <v>46168</v>
      </c>
      <c r="O71" s="2">
        <v>46170</v>
      </c>
      <c r="P71" s="2"/>
      <c r="Q71" s="10">
        <v>46171</v>
      </c>
      <c r="S71" s="1" t="s">
        <v>48</v>
      </c>
      <c r="T71" s="1" t="s">
        <v>32</v>
      </c>
      <c r="U71" s="1">
        <v>12</v>
      </c>
      <c r="V71" s="1" t="s">
        <v>49</v>
      </c>
      <c r="W71" s="1" t="s">
        <v>35</v>
      </c>
      <c r="X71" s="1" t="s">
        <v>52</v>
      </c>
      <c r="Y71" s="1" t="s">
        <v>43</v>
      </c>
      <c r="Z71" s="9">
        <v>66933.36</v>
      </c>
      <c r="AA71" s="9">
        <v>36664.730000000003</v>
      </c>
      <c r="AB71" s="9">
        <v>38835.67</v>
      </c>
      <c r="AC71" s="9">
        <v>20313.169999999998</v>
      </c>
      <c r="AD71" s="9">
        <v>18522.5</v>
      </c>
      <c r="AE71" s="9">
        <v>66933.36</v>
      </c>
      <c r="AF71" s="9">
        <v>0</v>
      </c>
      <c r="AG71" s="9">
        <v>103598.09</v>
      </c>
      <c r="AH71" s="9">
        <v>0</v>
      </c>
      <c r="AI71" s="9">
        <v>0</v>
      </c>
      <c r="AJ71" s="11">
        <v>1</v>
      </c>
    </row>
    <row r="72" spans="1:36" hidden="1" x14ac:dyDescent="0.3">
      <c r="A72" s="1" t="s">
        <v>89</v>
      </c>
      <c r="B72" s="1">
        <v>214914</v>
      </c>
      <c r="C72" s="1"/>
      <c r="D72" s="1" t="s">
        <v>56</v>
      </c>
      <c r="E72" s="7" t="s">
        <v>78</v>
      </c>
      <c r="F72" s="7" t="s">
        <v>41</v>
      </c>
      <c r="G72" s="8">
        <f>SUM(Tabela1[[#This Row],[Total em Romaneio]],Tabela1[[#This Row],[Saldo Despacho]])/Tabela1[[#This Row],[Total do Pedido]]</f>
        <v>0.63700374438725849</v>
      </c>
      <c r="H72" s="42">
        <f>SUM(Tabela1[[#This Row],[Total em Romaneio]],Tabela1[[#This Row],[Saldo Despacho]])</f>
        <v>124017.45</v>
      </c>
      <c r="I72" s="9">
        <v>194688.73</v>
      </c>
      <c r="J72" s="10">
        <v>46091</v>
      </c>
      <c r="K72" s="2"/>
      <c r="L72" s="8">
        <f>Tabela1[[#This Row],[Saldo Pedido]]/Tabela1[[#This Row],[Total do Pedido]]</f>
        <v>0</v>
      </c>
      <c r="M72" s="8">
        <f>Tabela1[[#This Row],[Total Despachado]]/Tabela1[[#This Row],[Total do Pedido]]</f>
        <v>0</v>
      </c>
      <c r="N72" s="2">
        <v>46056</v>
      </c>
      <c r="O72" s="2">
        <v>46066</v>
      </c>
      <c r="P72" s="2">
        <v>46076</v>
      </c>
      <c r="Q72" s="10">
        <v>46155</v>
      </c>
      <c r="S72" s="1" t="s">
        <v>31</v>
      </c>
      <c r="T72" s="1" t="s">
        <v>38</v>
      </c>
      <c r="U72" s="1">
        <v>12</v>
      </c>
      <c r="V72" s="1" t="s">
        <v>39</v>
      </c>
      <c r="X72" s="1" t="s">
        <v>52</v>
      </c>
      <c r="Y72" s="1" t="s">
        <v>37</v>
      </c>
      <c r="Z72" s="9">
        <v>194688.73</v>
      </c>
      <c r="AA72" s="9">
        <v>0</v>
      </c>
      <c r="AB72" s="9">
        <v>40642.769999999997</v>
      </c>
      <c r="AC72" s="9">
        <v>27155.57</v>
      </c>
      <c r="AD72" s="9">
        <v>13487.2</v>
      </c>
      <c r="AE72" s="9">
        <v>124017.45</v>
      </c>
      <c r="AF72" s="9">
        <v>0</v>
      </c>
      <c r="AG72" s="9">
        <v>194688.73</v>
      </c>
      <c r="AH72" s="9">
        <v>0</v>
      </c>
      <c r="AI72" s="9">
        <v>0</v>
      </c>
      <c r="AJ72" s="11">
        <v>1</v>
      </c>
    </row>
    <row r="73" spans="1:36" hidden="1" x14ac:dyDescent="0.3">
      <c r="A73" s="1" t="s">
        <v>89</v>
      </c>
      <c r="B73" s="1">
        <v>214910</v>
      </c>
      <c r="C73" s="1"/>
      <c r="D73" s="1" t="s">
        <v>56</v>
      </c>
      <c r="E73" s="7" t="s">
        <v>78</v>
      </c>
      <c r="F73" s="7" t="s">
        <v>41</v>
      </c>
      <c r="G73" s="8">
        <f>SUM(Tabela1[[#This Row],[Total em Romaneio]],Tabela1[[#This Row],[Saldo Despacho]])/Tabela1[[#This Row],[Total do Pedido]]</f>
        <v>0.63591343987913429</v>
      </c>
      <c r="H73" s="42">
        <f>SUM(Tabela1[[#This Row],[Total em Romaneio]],Tabela1[[#This Row],[Saldo Despacho]])</f>
        <v>371415.54</v>
      </c>
      <c r="I73" s="9">
        <v>584066.18999999994</v>
      </c>
      <c r="J73" s="10">
        <v>46091</v>
      </c>
      <c r="K73" s="2"/>
      <c r="L73" s="8">
        <f>Tabela1[[#This Row],[Saldo Pedido]]/Tabela1[[#This Row],[Total do Pedido]]</f>
        <v>0</v>
      </c>
      <c r="M73" s="8">
        <f>Tabela1[[#This Row],[Total Despachado]]/Tabela1[[#This Row],[Total do Pedido]]</f>
        <v>0</v>
      </c>
      <c r="N73" s="2">
        <v>46056</v>
      </c>
      <c r="O73" s="2">
        <v>46066</v>
      </c>
      <c r="P73" s="2">
        <v>46076</v>
      </c>
      <c r="Q73" s="10">
        <v>46093</v>
      </c>
      <c r="S73" s="1" t="s">
        <v>31</v>
      </c>
      <c r="T73" s="1" t="s">
        <v>38</v>
      </c>
      <c r="U73" s="1">
        <v>12</v>
      </c>
      <c r="V73" s="1" t="s">
        <v>39</v>
      </c>
      <c r="X73" s="1" t="s">
        <v>52</v>
      </c>
      <c r="Y73" s="1" t="s">
        <v>37</v>
      </c>
      <c r="Z73" s="9">
        <v>584066.18999999994</v>
      </c>
      <c r="AA73" s="9">
        <v>0</v>
      </c>
      <c r="AB73" s="9">
        <v>121846.23</v>
      </c>
      <c r="AC73" s="9">
        <v>66911.19</v>
      </c>
      <c r="AD73" s="9">
        <v>54935.040000000001</v>
      </c>
      <c r="AE73" s="9">
        <v>235263.71</v>
      </c>
      <c r="AF73" s="9">
        <v>136151.82999999999</v>
      </c>
      <c r="AG73" s="9">
        <v>447914.36</v>
      </c>
      <c r="AH73" s="9">
        <v>0</v>
      </c>
      <c r="AI73" s="9">
        <v>136151.82999999999</v>
      </c>
      <c r="AJ73" s="11">
        <v>1</v>
      </c>
    </row>
    <row r="74" spans="1:36" hidden="1" x14ac:dyDescent="0.3">
      <c r="A74" s="1" t="s">
        <v>53</v>
      </c>
      <c r="B74" s="1">
        <v>217928</v>
      </c>
      <c r="C74" s="1"/>
      <c r="D74" s="1" t="s">
        <v>54</v>
      </c>
      <c r="E74" s="7" t="s">
        <v>63</v>
      </c>
      <c r="F74" s="7" t="s">
        <v>41</v>
      </c>
      <c r="G74" s="8">
        <f>SUM(Tabela1[[#This Row],[Total em Romaneio]],Tabela1[[#This Row],[Saldo Despacho]])/Tabela1[[#This Row],[Total do Pedido]]</f>
        <v>0.6331306583444628</v>
      </c>
      <c r="H74" s="42">
        <f>SUM(Tabela1[[#This Row],[Total em Romaneio]],Tabela1[[#This Row],[Saldo Despacho]])</f>
        <v>57859.31</v>
      </c>
      <c r="I74" s="9">
        <v>91386.05</v>
      </c>
      <c r="J74" s="10">
        <v>46189</v>
      </c>
      <c r="K74" s="2"/>
      <c r="L74" s="8">
        <f>Tabela1[[#This Row],[Saldo Pedido]]/Tabela1[[#This Row],[Total do Pedido]]</f>
        <v>0.36686934165553708</v>
      </c>
      <c r="M74" s="8">
        <f>Tabela1[[#This Row],[Total Despachado]]/Tabela1[[#This Row],[Total do Pedido]]</f>
        <v>0</v>
      </c>
      <c r="N74" s="2">
        <v>46155</v>
      </c>
      <c r="O74" s="2">
        <v>46168</v>
      </c>
      <c r="P74" s="2"/>
      <c r="Q74" s="10">
        <v>46171</v>
      </c>
      <c r="R74" s="10">
        <v>46176</v>
      </c>
      <c r="S74" s="1" t="s">
        <v>31</v>
      </c>
      <c r="T74" s="1" t="s">
        <v>133</v>
      </c>
      <c r="U74" s="1">
        <v>12</v>
      </c>
      <c r="V74" s="1" t="s">
        <v>49</v>
      </c>
      <c r="W74" s="1" t="s">
        <v>35</v>
      </c>
      <c r="X74" s="1" t="s">
        <v>52</v>
      </c>
      <c r="Y74" s="1" t="s">
        <v>43</v>
      </c>
      <c r="Z74" s="9">
        <v>57859.31</v>
      </c>
      <c r="AA74" s="9">
        <v>33526.74</v>
      </c>
      <c r="AB74" s="9">
        <v>51111.14</v>
      </c>
      <c r="AC74" s="9">
        <v>51111.14</v>
      </c>
      <c r="AD74" s="9">
        <v>0</v>
      </c>
      <c r="AE74" s="9">
        <v>57859.31</v>
      </c>
      <c r="AF74" s="9">
        <v>0</v>
      </c>
      <c r="AG74" s="9">
        <v>91386.05</v>
      </c>
      <c r="AH74" s="9">
        <v>0</v>
      </c>
      <c r="AI74" s="9">
        <v>0</v>
      </c>
      <c r="AJ74" s="11">
        <v>1</v>
      </c>
    </row>
    <row r="75" spans="1:36" hidden="1" x14ac:dyDescent="0.3">
      <c r="A75" s="1" t="s">
        <v>74</v>
      </c>
      <c r="B75" s="1">
        <v>217570</v>
      </c>
      <c r="C75" s="1">
        <v>114008</v>
      </c>
      <c r="D75" s="1" t="s">
        <v>75</v>
      </c>
      <c r="E75" s="7" t="s">
        <v>34</v>
      </c>
      <c r="F75" s="7" t="s">
        <v>134</v>
      </c>
      <c r="G75" s="8">
        <f>SUM(Tabela1[[#This Row],[Total em Romaneio]],Tabela1[[#This Row],[Saldo Despacho]])/Tabela1[[#This Row],[Total do Pedido]]</f>
        <v>0.62564389010287502</v>
      </c>
      <c r="H75" s="42">
        <f>SUM(Tabela1[[#This Row],[Total em Romaneio]],Tabela1[[#This Row],[Saldo Despacho]])</f>
        <v>5096.37</v>
      </c>
      <c r="I75" s="9">
        <v>8145.8</v>
      </c>
      <c r="J75" s="10">
        <v>46153</v>
      </c>
      <c r="K75" s="2"/>
      <c r="L75" s="8">
        <f>Tabela1[[#This Row],[Saldo Pedido]]/Tabela1[[#This Row],[Total do Pedido]]</f>
        <v>0</v>
      </c>
      <c r="M75" s="8">
        <f>Tabela1[[#This Row],[Total Despachado]]/Tabela1[[#This Row],[Total do Pedido]]</f>
        <v>0.37435610989712487</v>
      </c>
      <c r="N75" s="2">
        <v>46142</v>
      </c>
      <c r="O75" s="2">
        <v>46142</v>
      </c>
      <c r="P75" s="2"/>
      <c r="Q75" s="10">
        <v>46154</v>
      </c>
      <c r="S75" s="1" t="s">
        <v>31</v>
      </c>
      <c r="T75" s="1" t="s">
        <v>133</v>
      </c>
      <c r="U75" s="1">
        <v>12</v>
      </c>
      <c r="V75" s="1" t="s">
        <v>33</v>
      </c>
      <c r="W75" s="1" t="s">
        <v>35</v>
      </c>
      <c r="X75" s="1" t="s">
        <v>52</v>
      </c>
      <c r="Y75" s="1" t="s">
        <v>37</v>
      </c>
      <c r="Z75" s="9">
        <v>8145.8</v>
      </c>
      <c r="AA75" s="9">
        <v>0</v>
      </c>
      <c r="AB75" s="9">
        <v>1187.5999999999999</v>
      </c>
      <c r="AC75" s="9">
        <v>1112.5999999999999</v>
      </c>
      <c r="AD75" s="9">
        <v>75</v>
      </c>
      <c r="AE75" s="9">
        <v>0</v>
      </c>
      <c r="AF75" s="9">
        <v>8145.8</v>
      </c>
      <c r="AG75" s="9">
        <v>0</v>
      </c>
      <c r="AH75" s="9">
        <v>3049.43</v>
      </c>
      <c r="AI75" s="9">
        <v>5096.37</v>
      </c>
      <c r="AJ75" s="11">
        <v>1</v>
      </c>
    </row>
    <row r="76" spans="1:36" hidden="1" x14ac:dyDescent="0.3">
      <c r="A76" s="1" t="s">
        <v>53</v>
      </c>
      <c r="B76" s="1">
        <v>218341</v>
      </c>
      <c r="C76" s="1"/>
      <c r="D76" s="1" t="s">
        <v>54</v>
      </c>
      <c r="E76" s="7" t="s">
        <v>155</v>
      </c>
      <c r="F76" s="7" t="s">
        <v>120</v>
      </c>
      <c r="G76" s="8">
        <f>SUM(Tabela1[[#This Row],[Total em Romaneio]],Tabela1[[#This Row],[Saldo Despacho]])/Tabela1[[#This Row],[Total do Pedido]]</f>
        <v>0.62148229972121405</v>
      </c>
      <c r="H76" s="42">
        <f>SUM(Tabela1[[#This Row],[Total em Romaneio]],Tabela1[[#This Row],[Saldo Despacho]])</f>
        <v>8861.25</v>
      </c>
      <c r="I76" s="9">
        <v>14258.25</v>
      </c>
      <c r="J76" s="10">
        <v>46176</v>
      </c>
      <c r="K76" s="2"/>
      <c r="L76" s="8">
        <f>Tabela1[[#This Row],[Saldo Pedido]]/Tabela1[[#This Row],[Total do Pedido]]</f>
        <v>0.37851770027878595</v>
      </c>
      <c r="M76" s="8">
        <f>Tabela1[[#This Row],[Total Despachado]]/Tabela1[[#This Row],[Total do Pedido]]</f>
        <v>0</v>
      </c>
      <c r="N76" s="2">
        <v>46170</v>
      </c>
      <c r="O76" s="2">
        <v>46170</v>
      </c>
      <c r="P76" s="2"/>
      <c r="Q76" s="10">
        <v>46171</v>
      </c>
      <c r="S76" s="1" t="s">
        <v>31</v>
      </c>
      <c r="T76" s="1" t="s">
        <v>38</v>
      </c>
      <c r="U76" s="1">
        <v>12</v>
      </c>
      <c r="V76" s="1" t="s">
        <v>49</v>
      </c>
      <c r="W76" s="1" t="s">
        <v>35</v>
      </c>
      <c r="X76" s="1" t="s">
        <v>52</v>
      </c>
      <c r="Y76" s="1" t="s">
        <v>43</v>
      </c>
      <c r="Z76" s="9">
        <v>8861.25</v>
      </c>
      <c r="AA76" s="9">
        <v>5397</v>
      </c>
      <c r="AB76" s="9">
        <v>9730</v>
      </c>
      <c r="AC76" s="9">
        <v>6450</v>
      </c>
      <c r="AD76" s="9">
        <v>3280</v>
      </c>
      <c r="AE76" s="9">
        <v>8861.25</v>
      </c>
      <c r="AF76" s="9">
        <v>0</v>
      </c>
      <c r="AG76" s="9">
        <v>14258.25</v>
      </c>
      <c r="AH76" s="9">
        <v>0</v>
      </c>
      <c r="AI76" s="9">
        <v>0</v>
      </c>
      <c r="AJ76" s="11">
        <v>1</v>
      </c>
    </row>
    <row r="77" spans="1:36" x14ac:dyDescent="0.3">
      <c r="A77" s="1" t="s">
        <v>64</v>
      </c>
      <c r="B77" s="1">
        <v>218226</v>
      </c>
      <c r="C77" s="1"/>
      <c r="D77" s="1" t="s">
        <v>65</v>
      </c>
      <c r="E77" s="7" t="s">
        <v>57</v>
      </c>
      <c r="F77" s="7" t="s">
        <v>77</v>
      </c>
      <c r="G77" s="8">
        <f>SUM(Tabela1[[#This Row],[Total em Romaneio]],Tabela1[[#This Row],[Saldo Despacho]])/Tabela1[[#This Row],[Total do Pedido]]</f>
        <v>0.61032378165619416</v>
      </c>
      <c r="H77" s="42">
        <f>SUM(Tabela1[[#This Row],[Total em Romaneio]],Tabela1[[#This Row],[Saldo Despacho]])</f>
        <v>29067.61</v>
      </c>
      <c r="I77" s="9">
        <v>47626.54</v>
      </c>
      <c r="J77" s="10">
        <v>46178</v>
      </c>
      <c r="K77" s="2"/>
      <c r="L77" s="8">
        <f>Tabela1[[#This Row],[Saldo Pedido]]/Tabela1[[#This Row],[Total do Pedido]]</f>
        <v>0.38967621834380578</v>
      </c>
      <c r="M77" s="8">
        <f>Tabela1[[#This Row],[Total Despachado]]/Tabela1[[#This Row],[Total do Pedido]]</f>
        <v>0</v>
      </c>
      <c r="N77" s="2">
        <v>46164</v>
      </c>
      <c r="O77" s="2">
        <v>46167</v>
      </c>
      <c r="P77" s="2"/>
      <c r="Q77" s="10">
        <v>46171</v>
      </c>
      <c r="S77" s="1" t="s">
        <v>66</v>
      </c>
      <c r="T77" s="1" t="s">
        <v>32</v>
      </c>
      <c r="U77" s="1">
        <v>12</v>
      </c>
      <c r="V77" s="1" t="s">
        <v>39</v>
      </c>
      <c r="W77" s="1" t="s">
        <v>35</v>
      </c>
      <c r="X77" s="1" t="s">
        <v>52</v>
      </c>
      <c r="Y77" s="1" t="s">
        <v>43</v>
      </c>
      <c r="Z77" s="9">
        <v>29067.61</v>
      </c>
      <c r="AA77" s="9">
        <v>18558.93</v>
      </c>
      <c r="AB77" s="9">
        <v>16981.990000000002</v>
      </c>
      <c r="AC77" s="9">
        <v>14908.47</v>
      </c>
      <c r="AD77" s="9">
        <v>2073.52</v>
      </c>
      <c r="AE77" s="9">
        <v>29067.61</v>
      </c>
      <c r="AF77" s="9">
        <v>0</v>
      </c>
      <c r="AG77" s="9">
        <v>47626.54</v>
      </c>
      <c r="AH77" s="9">
        <v>0</v>
      </c>
      <c r="AI77" s="9">
        <v>0</v>
      </c>
      <c r="AJ77" s="11">
        <v>1</v>
      </c>
    </row>
    <row r="78" spans="1:36" hidden="1" x14ac:dyDescent="0.3">
      <c r="A78" s="1" t="s">
        <v>144</v>
      </c>
      <c r="B78" s="1">
        <v>218160</v>
      </c>
      <c r="C78" s="1"/>
      <c r="D78" s="1" t="s">
        <v>56</v>
      </c>
      <c r="E78" s="7" t="s">
        <v>57</v>
      </c>
      <c r="F78" s="7" t="s">
        <v>146</v>
      </c>
      <c r="G78" s="8">
        <f>SUM(Tabela1[[#This Row],[Total em Romaneio]],Tabela1[[#This Row],[Saldo Despacho]])/Tabela1[[#This Row],[Total do Pedido]]</f>
        <v>0.59164097293593698</v>
      </c>
      <c r="H78" s="42">
        <f>SUM(Tabela1[[#This Row],[Total em Romaneio]],Tabela1[[#This Row],[Saldo Despacho]])</f>
        <v>86.35</v>
      </c>
      <c r="I78" s="9">
        <v>145.94999999999999</v>
      </c>
      <c r="J78" s="10">
        <v>46178</v>
      </c>
      <c r="K78" s="2"/>
      <c r="L78" s="8">
        <f>Tabela1[[#This Row],[Saldo Pedido]]/Tabela1[[#This Row],[Total do Pedido]]</f>
        <v>0.40835902706406307</v>
      </c>
      <c r="M78" s="8">
        <f>Tabela1[[#This Row],[Total Despachado]]/Tabela1[[#This Row],[Total do Pedido]]</f>
        <v>0</v>
      </c>
      <c r="N78" s="2">
        <v>46163</v>
      </c>
      <c r="O78" s="2">
        <v>46163</v>
      </c>
      <c r="P78" s="2"/>
      <c r="Q78" s="10">
        <v>46167</v>
      </c>
      <c r="R78" s="10">
        <v>46167</v>
      </c>
      <c r="S78" s="1" t="s">
        <v>44</v>
      </c>
      <c r="T78" s="1" t="s">
        <v>32</v>
      </c>
      <c r="U78" s="1">
        <v>191</v>
      </c>
      <c r="V78" s="1" t="s">
        <v>39</v>
      </c>
      <c r="W78" s="1" t="s">
        <v>35</v>
      </c>
      <c r="X78" s="1" t="s">
        <v>58</v>
      </c>
      <c r="Y78" s="1" t="s">
        <v>43</v>
      </c>
      <c r="Z78" s="9">
        <v>86.35</v>
      </c>
      <c r="AA78" s="9">
        <v>59.6</v>
      </c>
      <c r="AB78" s="9">
        <v>59.6</v>
      </c>
      <c r="AC78" s="9">
        <v>59.6</v>
      </c>
      <c r="AD78" s="9">
        <v>0</v>
      </c>
      <c r="AE78" s="9">
        <v>86.35</v>
      </c>
      <c r="AF78" s="9">
        <v>0</v>
      </c>
      <c r="AG78" s="9">
        <v>145.94999999999999</v>
      </c>
      <c r="AH78" s="9">
        <v>0</v>
      </c>
      <c r="AI78" s="9">
        <v>0</v>
      </c>
      <c r="AJ78" s="11">
        <v>1</v>
      </c>
    </row>
    <row r="79" spans="1:36" hidden="1" x14ac:dyDescent="0.3">
      <c r="A79" s="1" t="s">
        <v>158</v>
      </c>
      <c r="B79" s="1">
        <v>218272</v>
      </c>
      <c r="C79" s="1"/>
      <c r="D79" s="1" t="s">
        <v>160</v>
      </c>
      <c r="E79" s="7" t="s">
        <v>63</v>
      </c>
      <c r="F79" s="7" t="s">
        <v>41</v>
      </c>
      <c r="G79" s="8">
        <f>SUM(Tabela1[[#This Row],[Total em Romaneio]],Tabela1[[#This Row],[Saldo Despacho]])/Tabela1[[#This Row],[Total do Pedido]]</f>
        <v>0.49818012069385442</v>
      </c>
      <c r="H79" s="42">
        <f>SUM(Tabela1[[#This Row],[Total em Romaneio]],Tabela1[[#This Row],[Saldo Despacho]])</f>
        <v>5890.96</v>
      </c>
      <c r="I79" s="9">
        <v>11824.96</v>
      </c>
      <c r="J79" s="10">
        <v>46178</v>
      </c>
      <c r="K79" s="2"/>
      <c r="L79" s="8">
        <f>Tabela1[[#This Row],[Saldo Pedido]]/Tabela1[[#This Row],[Total do Pedido]]</f>
        <v>0.50181987930614569</v>
      </c>
      <c r="M79" s="8">
        <f>Tabela1[[#This Row],[Total Despachado]]/Tabela1[[#This Row],[Total do Pedido]]</f>
        <v>0</v>
      </c>
      <c r="N79" s="2">
        <v>46168</v>
      </c>
      <c r="O79" s="2">
        <v>46168</v>
      </c>
      <c r="P79" s="2"/>
      <c r="S79" s="1" t="s">
        <v>31</v>
      </c>
      <c r="T79" s="1" t="s">
        <v>38</v>
      </c>
      <c r="U79" s="1">
        <v>12</v>
      </c>
      <c r="V79" s="1" t="s">
        <v>49</v>
      </c>
      <c r="W79" s="1" t="s">
        <v>35</v>
      </c>
      <c r="X79" s="1" t="s">
        <v>36</v>
      </c>
      <c r="Y79" s="1" t="s">
        <v>43</v>
      </c>
      <c r="Z79" s="9">
        <v>5890.96</v>
      </c>
      <c r="AA79" s="9">
        <v>5934</v>
      </c>
      <c r="AB79" s="9">
        <v>2566.6</v>
      </c>
      <c r="AC79" s="9">
        <v>2516.1999999999998</v>
      </c>
      <c r="AD79" s="9">
        <v>50.4</v>
      </c>
      <c r="AE79" s="9">
        <v>5890.96</v>
      </c>
      <c r="AF79" s="9">
        <v>0</v>
      </c>
      <c r="AG79" s="9">
        <v>11824.96</v>
      </c>
      <c r="AH79" s="9">
        <v>0</v>
      </c>
      <c r="AI79" s="9">
        <v>0</v>
      </c>
      <c r="AJ79" s="11">
        <v>1</v>
      </c>
    </row>
    <row r="80" spans="1:36" hidden="1" x14ac:dyDescent="0.3">
      <c r="A80" s="1" t="s">
        <v>92</v>
      </c>
      <c r="B80" s="1">
        <v>217004</v>
      </c>
      <c r="C80" s="1"/>
      <c r="D80" s="1" t="s">
        <v>93</v>
      </c>
      <c r="E80" s="7" t="s">
        <v>78</v>
      </c>
      <c r="F80" s="7" t="s">
        <v>41</v>
      </c>
      <c r="G80" s="8">
        <f>SUM(Tabela1[[#This Row],[Total em Romaneio]],Tabela1[[#This Row],[Saldo Despacho]])/Tabela1[[#This Row],[Total do Pedido]]</f>
        <v>0.44852343158426117</v>
      </c>
      <c r="H80" s="42">
        <f>SUM(Tabela1[[#This Row],[Total em Romaneio]],Tabela1[[#This Row],[Saldo Despacho]])</f>
        <v>63972</v>
      </c>
      <c r="I80" s="9">
        <v>142628</v>
      </c>
      <c r="J80" s="10">
        <v>46135</v>
      </c>
      <c r="K80" s="2"/>
      <c r="L80" s="8">
        <f>Tabela1[[#This Row],[Saldo Pedido]]/Tabela1[[#This Row],[Total do Pedido]]</f>
        <v>0.27119499677482684</v>
      </c>
      <c r="M80" s="8">
        <f>Tabela1[[#This Row],[Total Despachado]]/Tabela1[[#This Row],[Total do Pedido]]</f>
        <v>0</v>
      </c>
      <c r="N80" s="2">
        <v>46125</v>
      </c>
      <c r="O80" s="2">
        <v>46125</v>
      </c>
      <c r="P80" s="2"/>
      <c r="Q80" s="10">
        <v>46168</v>
      </c>
      <c r="S80" s="1" t="s">
        <v>31</v>
      </c>
      <c r="T80" s="1" t="s">
        <v>38</v>
      </c>
      <c r="U80" s="1">
        <v>12</v>
      </c>
      <c r="V80" s="1" t="s">
        <v>49</v>
      </c>
      <c r="W80" s="1" t="s">
        <v>35</v>
      </c>
      <c r="X80" s="1" t="s">
        <v>52</v>
      </c>
      <c r="Y80" s="1" t="s">
        <v>43</v>
      </c>
      <c r="Z80" s="9">
        <v>103948</v>
      </c>
      <c r="AA80" s="9">
        <v>38680</v>
      </c>
      <c r="AB80" s="9">
        <v>32248</v>
      </c>
      <c r="AC80" s="9">
        <v>30480</v>
      </c>
      <c r="AD80" s="9">
        <v>1768</v>
      </c>
      <c r="AE80" s="9">
        <v>63972</v>
      </c>
      <c r="AF80" s="9">
        <v>0</v>
      </c>
      <c r="AG80" s="9">
        <v>142628</v>
      </c>
      <c r="AH80" s="9">
        <v>0</v>
      </c>
      <c r="AI80" s="9">
        <v>0</v>
      </c>
      <c r="AJ80" s="11">
        <v>1</v>
      </c>
    </row>
    <row r="81" spans="1:36" hidden="1" x14ac:dyDescent="0.3">
      <c r="A81" s="1" t="s">
        <v>92</v>
      </c>
      <c r="B81" s="1">
        <v>217212</v>
      </c>
      <c r="C81" s="1"/>
      <c r="D81" s="1" t="s">
        <v>93</v>
      </c>
      <c r="E81" s="7" t="s">
        <v>78</v>
      </c>
      <c r="F81" s="7" t="s">
        <v>41</v>
      </c>
      <c r="G81" s="8">
        <f>SUM(Tabela1[[#This Row],[Total em Romaneio]],Tabela1[[#This Row],[Saldo Despacho]])/Tabela1[[#This Row],[Total do Pedido]]</f>
        <v>0.44852343158426117</v>
      </c>
      <c r="H81" s="42">
        <f>SUM(Tabela1[[#This Row],[Total em Romaneio]],Tabela1[[#This Row],[Saldo Despacho]])</f>
        <v>31986</v>
      </c>
      <c r="I81" s="9">
        <v>71314</v>
      </c>
      <c r="J81" s="10">
        <v>46170</v>
      </c>
      <c r="K81" s="2"/>
      <c r="L81" s="8">
        <f>Tabela1[[#This Row],[Saldo Pedido]]/Tabela1[[#This Row],[Total do Pedido]]</f>
        <v>0.27119499677482684</v>
      </c>
      <c r="M81" s="8">
        <f>Tabela1[[#This Row],[Total Despachado]]/Tabela1[[#This Row],[Total do Pedido]]</f>
        <v>0</v>
      </c>
      <c r="N81" s="2">
        <v>46125</v>
      </c>
      <c r="O81" s="2">
        <v>46128</v>
      </c>
      <c r="P81" s="2">
        <v>46135</v>
      </c>
      <c r="Q81" s="10">
        <v>46168</v>
      </c>
      <c r="R81" s="10">
        <v>46178</v>
      </c>
      <c r="S81" s="1" t="s">
        <v>31</v>
      </c>
      <c r="T81" s="1" t="s">
        <v>38</v>
      </c>
      <c r="U81" s="1">
        <v>12</v>
      </c>
      <c r="V81" s="1" t="s">
        <v>49</v>
      </c>
      <c r="W81" s="1" t="s">
        <v>35</v>
      </c>
      <c r="X81" s="1" t="s">
        <v>52</v>
      </c>
      <c r="Y81" s="1" t="s">
        <v>43</v>
      </c>
      <c r="Z81" s="9">
        <v>51974</v>
      </c>
      <c r="AA81" s="9">
        <v>19340</v>
      </c>
      <c r="AB81" s="9">
        <v>15482</v>
      </c>
      <c r="AC81" s="9">
        <v>15116</v>
      </c>
      <c r="AD81" s="9">
        <v>366</v>
      </c>
      <c r="AE81" s="9">
        <v>31986</v>
      </c>
      <c r="AF81" s="9">
        <v>0</v>
      </c>
      <c r="AG81" s="9">
        <v>71314</v>
      </c>
      <c r="AH81" s="9">
        <v>0</v>
      </c>
      <c r="AI81" s="9">
        <v>0</v>
      </c>
      <c r="AJ81" s="11">
        <v>1</v>
      </c>
    </row>
    <row r="82" spans="1:36" hidden="1" x14ac:dyDescent="0.3">
      <c r="A82" s="1" t="s">
        <v>92</v>
      </c>
      <c r="B82" s="1">
        <v>217009</v>
      </c>
      <c r="C82" s="1"/>
      <c r="D82" s="1" t="s">
        <v>93</v>
      </c>
      <c r="E82" s="7" t="s">
        <v>78</v>
      </c>
      <c r="F82" s="7" t="s">
        <v>41</v>
      </c>
      <c r="G82" s="8">
        <f>SUM(Tabela1[[#This Row],[Total em Romaneio]],Tabela1[[#This Row],[Saldo Despacho]])/Tabela1[[#This Row],[Total do Pedido]]</f>
        <v>0.4474110441868705</v>
      </c>
      <c r="H82" s="42">
        <f>SUM(Tabela1[[#This Row],[Total em Romaneio]],Tabela1[[#This Row],[Saldo Despacho]])</f>
        <v>35358</v>
      </c>
      <c r="I82" s="9">
        <v>79028</v>
      </c>
      <c r="J82" s="10">
        <v>46135</v>
      </c>
      <c r="K82" s="2"/>
      <c r="L82" s="8">
        <f>Tabela1[[#This Row],[Saldo Pedido]]/Tabela1[[#This Row],[Total do Pedido]]</f>
        <v>0.25940173103203928</v>
      </c>
      <c r="M82" s="8">
        <f>Tabela1[[#This Row],[Total Despachado]]/Tabela1[[#This Row],[Total do Pedido]]</f>
        <v>0</v>
      </c>
      <c r="N82" s="2">
        <v>46125</v>
      </c>
      <c r="O82" s="2">
        <v>46125</v>
      </c>
      <c r="P82" s="2"/>
      <c r="Q82" s="10">
        <v>46168</v>
      </c>
      <c r="S82" s="1" t="s">
        <v>31</v>
      </c>
      <c r="T82" s="1" t="s">
        <v>38</v>
      </c>
      <c r="U82" s="1">
        <v>12</v>
      </c>
      <c r="V82" s="1" t="s">
        <v>49</v>
      </c>
      <c r="W82" s="1" t="s">
        <v>35</v>
      </c>
      <c r="X82" s="1" t="s">
        <v>52</v>
      </c>
      <c r="Y82" s="1" t="s">
        <v>43</v>
      </c>
      <c r="Z82" s="9">
        <v>58528</v>
      </c>
      <c r="AA82" s="9">
        <v>20500</v>
      </c>
      <c r="AB82" s="9">
        <v>21196</v>
      </c>
      <c r="AC82" s="9">
        <v>18338</v>
      </c>
      <c r="AD82" s="9">
        <v>2858</v>
      </c>
      <c r="AE82" s="9">
        <v>35358</v>
      </c>
      <c r="AF82" s="9">
        <v>0</v>
      </c>
      <c r="AG82" s="9">
        <v>79028</v>
      </c>
      <c r="AH82" s="9">
        <v>0</v>
      </c>
      <c r="AI82" s="9">
        <v>0</v>
      </c>
      <c r="AJ82" s="11">
        <v>1</v>
      </c>
    </row>
    <row r="83" spans="1:36" hidden="1" x14ac:dyDescent="0.3">
      <c r="A83" s="1" t="s">
        <v>53</v>
      </c>
      <c r="B83" s="1">
        <v>217929</v>
      </c>
      <c r="C83" s="1"/>
      <c r="D83" s="1" t="s">
        <v>54</v>
      </c>
      <c r="E83" s="7" t="s">
        <v>63</v>
      </c>
      <c r="F83" s="7" t="s">
        <v>41</v>
      </c>
      <c r="G83" s="8">
        <f>SUM(Tabela1[[#This Row],[Total em Romaneio]],Tabela1[[#This Row],[Saldo Despacho]])/Tabela1[[#This Row],[Total do Pedido]]</f>
        <v>0.44324233457894041</v>
      </c>
      <c r="H83" s="42">
        <f>SUM(Tabela1[[#This Row],[Total em Romaneio]],Tabela1[[#This Row],[Saldo Despacho]])</f>
        <v>40579.31</v>
      </c>
      <c r="I83" s="9">
        <v>91551.07</v>
      </c>
      <c r="J83" s="10">
        <v>46196</v>
      </c>
      <c r="K83" s="2"/>
      <c r="L83" s="8">
        <f>Tabela1[[#This Row],[Saldo Pedido]]/Tabela1[[#This Row],[Total do Pedido]]</f>
        <v>0.55675766542105953</v>
      </c>
      <c r="M83" s="8">
        <f>Tabela1[[#This Row],[Total Despachado]]/Tabela1[[#This Row],[Total do Pedido]]</f>
        <v>0</v>
      </c>
      <c r="N83" s="2">
        <v>46155</v>
      </c>
      <c r="O83" s="2">
        <v>46168</v>
      </c>
      <c r="P83" s="2"/>
      <c r="Q83" s="10">
        <v>46171</v>
      </c>
      <c r="R83" s="10">
        <v>46176</v>
      </c>
      <c r="S83" s="1" t="s">
        <v>31</v>
      </c>
      <c r="T83" s="1" t="s">
        <v>133</v>
      </c>
      <c r="U83" s="1">
        <v>12</v>
      </c>
      <c r="V83" s="1" t="s">
        <v>49</v>
      </c>
      <c r="W83" s="1" t="s">
        <v>35</v>
      </c>
      <c r="X83" s="1" t="s">
        <v>52</v>
      </c>
      <c r="Y83" s="1" t="s">
        <v>43</v>
      </c>
      <c r="Z83" s="9">
        <v>40579.31</v>
      </c>
      <c r="AA83" s="9">
        <v>50971.76</v>
      </c>
      <c r="AB83" s="9">
        <v>51208.02</v>
      </c>
      <c r="AC83" s="9">
        <v>51208.02</v>
      </c>
      <c r="AD83" s="9">
        <v>0</v>
      </c>
      <c r="AE83" s="9">
        <v>40579.31</v>
      </c>
      <c r="AF83" s="9">
        <v>0</v>
      </c>
      <c r="AG83" s="9">
        <v>91551.07</v>
      </c>
      <c r="AH83" s="9">
        <v>0</v>
      </c>
      <c r="AI83" s="9">
        <v>0</v>
      </c>
      <c r="AJ83" s="11">
        <v>1</v>
      </c>
    </row>
    <row r="84" spans="1:36" hidden="1" x14ac:dyDescent="0.3">
      <c r="A84" s="1" t="s">
        <v>89</v>
      </c>
      <c r="B84" s="1">
        <v>214924</v>
      </c>
      <c r="C84" s="1"/>
      <c r="D84" s="1" t="s">
        <v>56</v>
      </c>
      <c r="E84" s="7" t="s">
        <v>78</v>
      </c>
      <c r="F84" s="7" t="s">
        <v>41</v>
      </c>
      <c r="G84" s="8">
        <f>SUM(Tabela1[[#This Row],[Total em Romaneio]],Tabela1[[#This Row],[Saldo Despacho]])/Tabela1[[#This Row],[Total do Pedido]]</f>
        <v>0.44058179493326943</v>
      </c>
      <c r="H84" s="42">
        <f>SUM(Tabela1[[#This Row],[Total em Romaneio]],Tabela1[[#This Row],[Saldo Despacho]])</f>
        <v>27840.65</v>
      </c>
      <c r="I84" s="9">
        <v>63190.65</v>
      </c>
      <c r="J84" s="10">
        <v>46091</v>
      </c>
      <c r="K84" s="2"/>
      <c r="L84" s="8">
        <f>Tabela1[[#This Row],[Saldo Pedido]]/Tabela1[[#This Row],[Total do Pedido]]</f>
        <v>0</v>
      </c>
      <c r="M84" s="8">
        <f>Tabela1[[#This Row],[Total Despachado]]/Tabela1[[#This Row],[Total do Pedido]]</f>
        <v>0</v>
      </c>
      <c r="N84" s="2">
        <v>46056</v>
      </c>
      <c r="O84" s="2">
        <v>46064</v>
      </c>
      <c r="P84" s="2">
        <v>46076</v>
      </c>
      <c r="Q84" s="10">
        <v>46093</v>
      </c>
      <c r="S84" s="1" t="s">
        <v>31</v>
      </c>
      <c r="T84" s="1" t="s">
        <v>38</v>
      </c>
      <c r="U84" s="1">
        <v>12</v>
      </c>
      <c r="V84" s="1" t="s">
        <v>39</v>
      </c>
      <c r="X84" s="1" t="s">
        <v>52</v>
      </c>
      <c r="Y84" s="1" t="s">
        <v>37</v>
      </c>
      <c r="Z84" s="9">
        <v>63190.65</v>
      </c>
      <c r="AA84" s="9">
        <v>0</v>
      </c>
      <c r="AB84" s="9">
        <v>17983.05</v>
      </c>
      <c r="AC84" s="9">
        <v>17084.150000000001</v>
      </c>
      <c r="AD84" s="9">
        <v>898.9</v>
      </c>
      <c r="AE84" s="9">
        <v>27840.65</v>
      </c>
      <c r="AF84" s="9">
        <v>0</v>
      </c>
      <c r="AG84" s="9">
        <v>63190.65</v>
      </c>
      <c r="AH84" s="9">
        <v>0</v>
      </c>
      <c r="AI84" s="9">
        <v>0</v>
      </c>
      <c r="AJ84" s="11">
        <v>1</v>
      </c>
    </row>
    <row r="85" spans="1:36" hidden="1" x14ac:dyDescent="0.3">
      <c r="A85" s="43" t="s">
        <v>46</v>
      </c>
      <c r="B85" s="43">
        <v>216244</v>
      </c>
      <c r="C85" s="43"/>
      <c r="D85" s="43" t="s">
        <v>47</v>
      </c>
      <c r="E85" s="37" t="s">
        <v>88</v>
      </c>
      <c r="F85" s="37" t="s">
        <v>41</v>
      </c>
      <c r="G85" s="38">
        <f>SUM(Tabela1[[#This Row],[Total em Romaneio]],Tabela1[[#This Row],[Saldo Despacho]])/Tabela1[[#This Row],[Total do Pedido]]</f>
        <v>0.44020081814801043</v>
      </c>
      <c r="H85" s="44">
        <f>SUM(Tabela1[[#This Row],[Total em Romaneio]],Tabela1[[#This Row],[Saldo Despacho]])</f>
        <v>189392</v>
      </c>
      <c r="I85" s="39">
        <v>430240</v>
      </c>
      <c r="J85" s="40">
        <v>46143</v>
      </c>
      <c r="K85" s="45"/>
      <c r="L85" s="38">
        <f>Tabela1[[#This Row],[Saldo Pedido]]/Tabela1[[#This Row],[Total do Pedido]]</f>
        <v>0.50059501673484563</v>
      </c>
      <c r="M85" s="38">
        <f>Tabela1[[#This Row],[Total Despachado]]/Tabela1[[#This Row],[Total do Pedido]]</f>
        <v>5.9204165117143923E-2</v>
      </c>
      <c r="N85" s="45">
        <v>46104</v>
      </c>
      <c r="O85" s="45">
        <v>46132</v>
      </c>
      <c r="P85" s="45">
        <v>46111</v>
      </c>
      <c r="Q85" s="40">
        <v>46167</v>
      </c>
      <c r="R85" s="40"/>
      <c r="S85" s="43" t="s">
        <v>48</v>
      </c>
      <c r="T85" s="43" t="s">
        <v>32</v>
      </c>
      <c r="U85" s="43">
        <v>12</v>
      </c>
      <c r="V85" s="43" t="s">
        <v>49</v>
      </c>
      <c r="W85" s="43" t="s">
        <v>35</v>
      </c>
      <c r="X85" s="43" t="s">
        <v>52</v>
      </c>
      <c r="Y85" s="43" t="s">
        <v>43</v>
      </c>
      <c r="Z85" s="39">
        <v>214864</v>
      </c>
      <c r="AA85" s="39">
        <v>215376</v>
      </c>
      <c r="AB85" s="39">
        <v>123981.2</v>
      </c>
      <c r="AC85" s="39">
        <v>123981.2</v>
      </c>
      <c r="AD85" s="39">
        <v>0</v>
      </c>
      <c r="AE85" s="39">
        <v>0</v>
      </c>
      <c r="AF85" s="39">
        <v>214864</v>
      </c>
      <c r="AG85" s="39">
        <v>215376</v>
      </c>
      <c r="AH85" s="39">
        <v>25472</v>
      </c>
      <c r="AI85" s="39">
        <v>189392</v>
      </c>
      <c r="AJ85" s="41">
        <v>1</v>
      </c>
    </row>
    <row r="86" spans="1:36" hidden="1" x14ac:dyDescent="0.3">
      <c r="A86" s="1" t="s">
        <v>111</v>
      </c>
      <c r="B86" s="1">
        <v>216369</v>
      </c>
      <c r="C86" s="1">
        <v>113263</v>
      </c>
      <c r="D86" s="1" t="s">
        <v>112</v>
      </c>
      <c r="E86" s="7" t="s">
        <v>78</v>
      </c>
      <c r="F86" s="7" t="s">
        <v>41</v>
      </c>
      <c r="G86" s="8">
        <f>SUM(Tabela1[[#This Row],[Total em Romaneio]],Tabela1[[#This Row],[Saldo Despacho]])/Tabela1[[#This Row],[Total do Pedido]]</f>
        <v>0.40977580103476446</v>
      </c>
      <c r="H86" s="42">
        <f>SUM(Tabela1[[#This Row],[Total em Romaneio]],Tabela1[[#This Row],[Saldo Despacho]])</f>
        <v>72232</v>
      </c>
      <c r="I86" s="9">
        <v>176272</v>
      </c>
      <c r="J86" s="10">
        <v>46170</v>
      </c>
      <c r="K86" s="2"/>
      <c r="L86" s="8">
        <f>Tabela1[[#This Row],[Saldo Pedido]]/Tabela1[[#This Row],[Total do Pedido]]</f>
        <v>0.5035399836616139</v>
      </c>
      <c r="M86" s="8">
        <f>Tabela1[[#This Row],[Total Despachado]]/Tabela1[[#This Row],[Total do Pedido]]</f>
        <v>0</v>
      </c>
      <c r="N86" s="2">
        <v>46108</v>
      </c>
      <c r="O86" s="2">
        <v>46112</v>
      </c>
      <c r="P86" s="2">
        <v>46139</v>
      </c>
      <c r="Q86" s="10">
        <v>46157</v>
      </c>
      <c r="R86" s="10">
        <v>46178</v>
      </c>
      <c r="S86" s="1" t="s">
        <v>31</v>
      </c>
      <c r="T86" s="1" t="s">
        <v>38</v>
      </c>
      <c r="U86" s="1">
        <v>12</v>
      </c>
      <c r="V86" s="1" t="s">
        <v>33</v>
      </c>
      <c r="W86" s="1" t="s">
        <v>35</v>
      </c>
      <c r="X86" s="1" t="s">
        <v>52</v>
      </c>
      <c r="Y86" s="1" t="s">
        <v>43</v>
      </c>
      <c r="Z86" s="9">
        <v>87512</v>
      </c>
      <c r="AA86" s="9">
        <v>88760</v>
      </c>
      <c r="AB86" s="9">
        <v>49545.599999999999</v>
      </c>
      <c r="AC86" s="9">
        <v>49545.599999999999</v>
      </c>
      <c r="AD86" s="9">
        <v>0</v>
      </c>
      <c r="AE86" s="9">
        <v>72232</v>
      </c>
      <c r="AF86" s="9">
        <v>0</v>
      </c>
      <c r="AG86" s="9">
        <v>176272</v>
      </c>
      <c r="AH86" s="9">
        <v>0</v>
      </c>
      <c r="AI86" s="9">
        <v>0</v>
      </c>
      <c r="AJ86" s="11">
        <v>1</v>
      </c>
    </row>
    <row r="87" spans="1:36" hidden="1" x14ac:dyDescent="0.3">
      <c r="A87" s="1" t="s">
        <v>111</v>
      </c>
      <c r="B87" s="1">
        <v>216379</v>
      </c>
      <c r="C87" s="1">
        <v>113262</v>
      </c>
      <c r="D87" s="1" t="s">
        <v>112</v>
      </c>
      <c r="E87" s="7" t="s">
        <v>78</v>
      </c>
      <c r="F87" s="7" t="s">
        <v>41</v>
      </c>
      <c r="G87" s="8">
        <f>SUM(Tabela1[[#This Row],[Total em Romaneio]],Tabela1[[#This Row],[Saldo Despacho]])/Tabela1[[#This Row],[Total do Pedido]]</f>
        <v>0.40977580103476441</v>
      </c>
      <c r="H87" s="42">
        <f>SUM(Tabela1[[#This Row],[Total em Romaneio]],Tabela1[[#This Row],[Saldo Despacho]])</f>
        <v>73134.899999999994</v>
      </c>
      <c r="I87" s="9">
        <v>178475.4</v>
      </c>
      <c r="J87" s="10">
        <v>46170</v>
      </c>
      <c r="K87" s="2"/>
      <c r="L87" s="8">
        <f>Tabela1[[#This Row],[Saldo Pedido]]/Tabela1[[#This Row],[Total do Pedido]]</f>
        <v>0.5035399836616139</v>
      </c>
      <c r="M87" s="8">
        <f>Tabela1[[#This Row],[Total Despachado]]/Tabela1[[#This Row],[Total do Pedido]]</f>
        <v>0</v>
      </c>
      <c r="N87" s="2">
        <v>46108</v>
      </c>
      <c r="O87" s="2">
        <v>46112</v>
      </c>
      <c r="P87" s="2">
        <v>46139</v>
      </c>
      <c r="Q87" s="10">
        <v>46157</v>
      </c>
      <c r="R87" s="10">
        <v>46178</v>
      </c>
      <c r="S87" s="1" t="s">
        <v>31</v>
      </c>
      <c r="T87" s="1" t="s">
        <v>38</v>
      </c>
      <c r="U87" s="1">
        <v>12</v>
      </c>
      <c r="V87" s="1" t="s">
        <v>33</v>
      </c>
      <c r="W87" s="1" t="s">
        <v>35</v>
      </c>
      <c r="X87" s="1" t="s">
        <v>52</v>
      </c>
      <c r="Y87" s="1" t="s">
        <v>43</v>
      </c>
      <c r="Z87" s="9">
        <v>88605.9</v>
      </c>
      <c r="AA87" s="9">
        <v>89869.5</v>
      </c>
      <c r="AB87" s="9">
        <v>50155.199999999997</v>
      </c>
      <c r="AC87" s="9">
        <v>50155.199999999997</v>
      </c>
      <c r="AD87" s="9">
        <v>0</v>
      </c>
      <c r="AE87" s="9">
        <v>73134.899999999994</v>
      </c>
      <c r="AF87" s="9">
        <v>0</v>
      </c>
      <c r="AG87" s="9">
        <v>178475.4</v>
      </c>
      <c r="AH87" s="9">
        <v>0</v>
      </c>
      <c r="AI87" s="9">
        <v>0</v>
      </c>
      <c r="AJ87" s="11">
        <v>1</v>
      </c>
    </row>
    <row r="88" spans="1:36" hidden="1" x14ac:dyDescent="0.3">
      <c r="A88" s="1" t="s">
        <v>92</v>
      </c>
      <c r="B88" s="1">
        <v>217007</v>
      </c>
      <c r="C88" s="1"/>
      <c r="D88" s="1" t="s">
        <v>93</v>
      </c>
      <c r="E88" s="7" t="s">
        <v>78</v>
      </c>
      <c r="F88" s="7" t="s">
        <v>41</v>
      </c>
      <c r="G88" s="8">
        <f>SUM(Tabela1[[#This Row],[Total em Romaneio]],Tabela1[[#This Row],[Saldo Despacho]])/Tabela1[[#This Row],[Total do Pedido]]</f>
        <v>0.39929307630617517</v>
      </c>
      <c r="H88" s="42">
        <f>SUM(Tabela1[[#This Row],[Total em Romaneio]],Tabela1[[#This Row],[Saldo Despacho]])</f>
        <v>26886</v>
      </c>
      <c r="I88" s="9">
        <v>67334</v>
      </c>
      <c r="J88" s="10">
        <v>46135</v>
      </c>
      <c r="K88" s="2"/>
      <c r="L88" s="8">
        <f>Tabela1[[#This Row],[Saldo Pedido]]/Tabela1[[#This Row],[Total do Pedido]]</f>
        <v>0.30445243116404785</v>
      </c>
      <c r="M88" s="8">
        <f>Tabela1[[#This Row],[Total Despachado]]/Tabela1[[#This Row],[Total do Pedido]]</f>
        <v>0</v>
      </c>
      <c r="N88" s="2">
        <v>46125</v>
      </c>
      <c r="O88" s="2">
        <v>46125</v>
      </c>
      <c r="P88" s="2"/>
      <c r="Q88" s="10">
        <v>46168</v>
      </c>
      <c r="S88" s="1" t="s">
        <v>31</v>
      </c>
      <c r="T88" s="1" t="s">
        <v>38</v>
      </c>
      <c r="U88" s="1">
        <v>12</v>
      </c>
      <c r="V88" s="1" t="s">
        <v>49</v>
      </c>
      <c r="W88" s="1" t="s">
        <v>35</v>
      </c>
      <c r="X88" s="1" t="s">
        <v>52</v>
      </c>
      <c r="Y88" s="1" t="s">
        <v>43</v>
      </c>
      <c r="Z88" s="9">
        <v>46834</v>
      </c>
      <c r="AA88" s="9">
        <v>20500</v>
      </c>
      <c r="AB88" s="9">
        <v>23732</v>
      </c>
      <c r="AC88" s="9">
        <v>18458</v>
      </c>
      <c r="AD88" s="9">
        <v>5274</v>
      </c>
      <c r="AE88" s="9">
        <v>26886</v>
      </c>
      <c r="AF88" s="9">
        <v>0</v>
      </c>
      <c r="AG88" s="9">
        <v>67334</v>
      </c>
      <c r="AH88" s="9">
        <v>0</v>
      </c>
      <c r="AI88" s="9">
        <v>0</v>
      </c>
      <c r="AJ88" s="11">
        <v>1</v>
      </c>
    </row>
    <row r="89" spans="1:36" hidden="1" x14ac:dyDescent="0.3">
      <c r="A89" s="1" t="s">
        <v>59</v>
      </c>
      <c r="B89" s="1">
        <v>218290</v>
      </c>
      <c r="C89" s="1"/>
      <c r="D89" s="1" t="s">
        <v>60</v>
      </c>
      <c r="E89" s="7" t="s">
        <v>45</v>
      </c>
      <c r="F89" s="7" t="s">
        <v>41</v>
      </c>
      <c r="G89" s="8">
        <f>SUM(Tabela1[[#This Row],[Total em Romaneio]],Tabela1[[#This Row],[Saldo Despacho]])/Tabela1[[#This Row],[Total do Pedido]]</f>
        <v>0.38802991853731594</v>
      </c>
      <c r="H89" s="42">
        <f>SUM(Tabela1[[#This Row],[Total em Romaneio]],Tabela1[[#This Row],[Saldo Despacho]])</f>
        <v>873.11</v>
      </c>
      <c r="I89" s="9">
        <v>2250.11</v>
      </c>
      <c r="J89" s="10">
        <v>46174</v>
      </c>
      <c r="K89" s="2"/>
      <c r="L89" s="8">
        <f>Tabela1[[#This Row],[Saldo Pedido]]/Tabela1[[#This Row],[Total do Pedido]]</f>
        <v>0.61197008146268406</v>
      </c>
      <c r="M89" s="8">
        <f>Tabela1[[#This Row],[Total Despachado]]/Tabela1[[#This Row],[Total do Pedido]]</f>
        <v>0</v>
      </c>
      <c r="N89" s="2">
        <v>46168</v>
      </c>
      <c r="O89" s="2">
        <v>46171</v>
      </c>
      <c r="P89" s="2"/>
      <c r="S89" s="1" t="s">
        <v>31</v>
      </c>
      <c r="T89" s="1" t="s">
        <v>38</v>
      </c>
      <c r="U89" s="1">
        <v>12</v>
      </c>
      <c r="V89" s="1" t="s">
        <v>39</v>
      </c>
      <c r="W89" s="1" t="s">
        <v>35</v>
      </c>
      <c r="X89" s="1" t="s">
        <v>36</v>
      </c>
      <c r="Y89" s="1" t="s">
        <v>43</v>
      </c>
      <c r="Z89" s="9">
        <v>873.11</v>
      </c>
      <c r="AA89" s="9">
        <v>1377</v>
      </c>
      <c r="AB89" s="9">
        <v>923.9</v>
      </c>
      <c r="AC89" s="9">
        <v>0</v>
      </c>
      <c r="AD89" s="9">
        <v>923.9</v>
      </c>
      <c r="AE89" s="9">
        <v>873.11</v>
      </c>
      <c r="AF89" s="9">
        <v>0</v>
      </c>
      <c r="AG89" s="9">
        <v>2250.11</v>
      </c>
      <c r="AH89" s="9">
        <v>0</v>
      </c>
      <c r="AI89" s="9">
        <v>0</v>
      </c>
      <c r="AJ89" s="11">
        <v>1</v>
      </c>
    </row>
    <row r="90" spans="1:36" hidden="1" x14ac:dyDescent="0.3">
      <c r="A90" s="1" t="s">
        <v>68</v>
      </c>
      <c r="B90" s="1">
        <v>217998</v>
      </c>
      <c r="C90" s="1"/>
      <c r="D90" s="1" t="s">
        <v>69</v>
      </c>
      <c r="E90" s="7" t="s">
        <v>78</v>
      </c>
      <c r="F90" s="7" t="s">
        <v>41</v>
      </c>
      <c r="G90" s="8">
        <f>SUM(Tabela1[[#This Row],[Total em Romaneio]],Tabela1[[#This Row],[Saldo Despacho]])/Tabela1[[#This Row],[Total do Pedido]]</f>
        <v>0.37442678080097824</v>
      </c>
      <c r="H90" s="42">
        <f>SUM(Tabela1[[#This Row],[Total em Romaneio]],Tabela1[[#This Row],[Saldo Despacho]])</f>
        <v>2253.54</v>
      </c>
      <c r="I90" s="9">
        <v>6018.64</v>
      </c>
      <c r="J90" s="10">
        <v>46167</v>
      </c>
      <c r="K90" s="2"/>
      <c r="L90" s="8">
        <f>Tabela1[[#This Row],[Saldo Pedido]]/Tabela1[[#This Row],[Total do Pedido]]</f>
        <v>0.62557321919902165</v>
      </c>
      <c r="M90" s="8">
        <f>Tabela1[[#This Row],[Total Despachado]]/Tabela1[[#This Row],[Total do Pedido]]</f>
        <v>0</v>
      </c>
      <c r="N90" s="2">
        <v>46157</v>
      </c>
      <c r="O90" s="2">
        <v>46161</v>
      </c>
      <c r="P90" s="2">
        <v>46167</v>
      </c>
      <c r="R90" s="10">
        <v>46178</v>
      </c>
      <c r="S90" s="1" t="s">
        <v>48</v>
      </c>
      <c r="T90" s="1" t="s">
        <v>32</v>
      </c>
      <c r="U90" s="1">
        <v>12</v>
      </c>
      <c r="V90" s="1" t="s">
        <v>39</v>
      </c>
      <c r="W90" s="1" t="s">
        <v>35</v>
      </c>
      <c r="X90" s="1" t="s">
        <v>58</v>
      </c>
      <c r="Y90" s="1" t="s">
        <v>43</v>
      </c>
      <c r="Z90" s="9">
        <v>2253.54</v>
      </c>
      <c r="AA90" s="9">
        <v>3765.1</v>
      </c>
      <c r="AB90" s="9">
        <v>1446.24</v>
      </c>
      <c r="AC90" s="9">
        <v>1446.24</v>
      </c>
      <c r="AD90" s="9">
        <v>0</v>
      </c>
      <c r="AE90" s="9">
        <v>2253.54</v>
      </c>
      <c r="AF90" s="9">
        <v>0</v>
      </c>
      <c r="AG90" s="9">
        <v>6018.64</v>
      </c>
      <c r="AH90" s="9">
        <v>0</v>
      </c>
      <c r="AI90" s="9">
        <v>0</v>
      </c>
      <c r="AJ90" s="11">
        <v>1</v>
      </c>
    </row>
    <row r="91" spans="1:36" hidden="1" x14ac:dyDescent="0.3">
      <c r="A91" s="1" t="s">
        <v>53</v>
      </c>
      <c r="B91" s="1">
        <v>218334</v>
      </c>
      <c r="C91" s="1"/>
      <c r="D91" s="1" t="s">
        <v>54</v>
      </c>
      <c r="E91" s="7" t="s">
        <v>155</v>
      </c>
      <c r="F91" s="7" t="s">
        <v>77</v>
      </c>
      <c r="G91" s="8">
        <f>SUM(Tabela1[[#This Row],[Total em Romaneio]],Tabela1[[#This Row],[Saldo Despacho]])/Tabela1[[#This Row],[Total do Pedido]]</f>
        <v>0.36322323729210587</v>
      </c>
      <c r="H91" s="42">
        <f>SUM(Tabela1[[#This Row],[Total em Romaneio]],Tabela1[[#This Row],[Saldo Despacho]])</f>
        <v>7753</v>
      </c>
      <c r="I91" s="9">
        <v>21345</v>
      </c>
      <c r="J91" s="10">
        <v>46176</v>
      </c>
      <c r="K91" s="2"/>
      <c r="L91" s="8">
        <f>Tabela1[[#This Row],[Saldo Pedido]]/Tabela1[[#This Row],[Total do Pedido]]</f>
        <v>0.63677676270789407</v>
      </c>
      <c r="M91" s="8">
        <f>Tabela1[[#This Row],[Total Despachado]]/Tabela1[[#This Row],[Total do Pedido]]</f>
        <v>0</v>
      </c>
      <c r="N91" s="2">
        <v>46170</v>
      </c>
      <c r="O91" s="2">
        <v>46170</v>
      </c>
      <c r="P91" s="2"/>
      <c r="Q91" s="10">
        <v>46171</v>
      </c>
      <c r="S91" s="1" t="s">
        <v>31</v>
      </c>
      <c r="T91" s="1" t="s">
        <v>38</v>
      </c>
      <c r="U91" s="1">
        <v>12</v>
      </c>
      <c r="V91" s="1" t="s">
        <v>49</v>
      </c>
      <c r="W91" s="1" t="s">
        <v>35</v>
      </c>
      <c r="X91" s="1" t="s">
        <v>52</v>
      </c>
      <c r="Y91" s="1" t="s">
        <v>43</v>
      </c>
      <c r="Z91" s="9">
        <v>7753</v>
      </c>
      <c r="AA91" s="9">
        <v>13592</v>
      </c>
      <c r="AB91" s="9">
        <v>14067</v>
      </c>
      <c r="AC91" s="9">
        <v>8667</v>
      </c>
      <c r="AD91" s="9">
        <v>5400</v>
      </c>
      <c r="AE91" s="9">
        <v>7753</v>
      </c>
      <c r="AF91" s="9">
        <v>0</v>
      </c>
      <c r="AG91" s="9">
        <v>21345</v>
      </c>
      <c r="AH91" s="9">
        <v>0</v>
      </c>
      <c r="AI91" s="9">
        <v>0</v>
      </c>
      <c r="AJ91" s="11">
        <v>1</v>
      </c>
    </row>
    <row r="92" spans="1:36" hidden="1" x14ac:dyDescent="0.3">
      <c r="A92" s="1" t="s">
        <v>92</v>
      </c>
      <c r="B92" s="1">
        <v>217214</v>
      </c>
      <c r="C92" s="1"/>
      <c r="D92" s="1" t="s">
        <v>93</v>
      </c>
      <c r="E92" s="7" t="s">
        <v>78</v>
      </c>
      <c r="F92" s="7" t="s">
        <v>41</v>
      </c>
      <c r="G92" s="8">
        <f>SUM(Tabela1[[#This Row],[Total em Romaneio]],Tabela1[[#This Row],[Saldo Despacho]])/Tabela1[[#This Row],[Total do Pedido]]</f>
        <v>0.34865001336620427</v>
      </c>
      <c r="H92" s="42">
        <f>SUM(Tabela1[[#This Row],[Total em Romaneio]],Tabela1[[#This Row],[Saldo Despacho]])</f>
        <v>23476</v>
      </c>
      <c r="I92" s="9">
        <v>67334</v>
      </c>
      <c r="J92" s="10">
        <v>46135</v>
      </c>
      <c r="K92" s="2"/>
      <c r="L92" s="8">
        <f>Tabela1[[#This Row],[Saldo Pedido]]/Tabela1[[#This Row],[Total do Pedido]]</f>
        <v>0.30445243116404785</v>
      </c>
      <c r="M92" s="8">
        <f>Tabela1[[#This Row],[Total Despachado]]/Tabela1[[#This Row],[Total do Pedido]]</f>
        <v>0</v>
      </c>
      <c r="N92" s="2">
        <v>46128</v>
      </c>
      <c r="O92" s="2">
        <v>46128</v>
      </c>
      <c r="P92" s="2"/>
      <c r="Q92" s="10">
        <v>46168</v>
      </c>
      <c r="S92" s="1" t="s">
        <v>31</v>
      </c>
      <c r="T92" s="1" t="s">
        <v>38</v>
      </c>
      <c r="U92" s="1">
        <v>12</v>
      </c>
      <c r="V92" s="1" t="s">
        <v>49</v>
      </c>
      <c r="W92" s="1" t="s">
        <v>35</v>
      </c>
      <c r="X92" s="1" t="s">
        <v>52</v>
      </c>
      <c r="Y92" s="1" t="s">
        <v>43</v>
      </c>
      <c r="Z92" s="9">
        <v>46834</v>
      </c>
      <c r="AA92" s="9">
        <v>20500</v>
      </c>
      <c r="AB92" s="9">
        <v>18822</v>
      </c>
      <c r="AC92" s="9">
        <v>16964</v>
      </c>
      <c r="AD92" s="9">
        <v>1858</v>
      </c>
      <c r="AE92" s="9">
        <v>23476</v>
      </c>
      <c r="AF92" s="9">
        <v>0</v>
      </c>
      <c r="AG92" s="9">
        <v>67334</v>
      </c>
      <c r="AH92" s="9">
        <v>0</v>
      </c>
      <c r="AI92" s="9">
        <v>0</v>
      </c>
      <c r="AJ92" s="11">
        <v>1</v>
      </c>
    </row>
    <row r="93" spans="1:36" hidden="1" x14ac:dyDescent="0.3">
      <c r="A93" s="1" t="s">
        <v>159</v>
      </c>
      <c r="B93" s="1">
        <v>218317</v>
      </c>
      <c r="C93" s="1"/>
      <c r="D93" s="1" t="s">
        <v>161</v>
      </c>
      <c r="E93" s="7" t="s">
        <v>63</v>
      </c>
      <c r="F93" s="7" t="s">
        <v>41</v>
      </c>
      <c r="G93" s="8">
        <f>SUM(Tabela1[[#This Row],[Total em Romaneio]],Tabela1[[#This Row],[Saldo Despacho]])/Tabela1[[#This Row],[Total do Pedido]]</f>
        <v>0.34594305069913589</v>
      </c>
      <c r="H93" s="42">
        <f>SUM(Tabela1[[#This Row],[Total em Romaneio]],Tabela1[[#This Row],[Saldo Despacho]])</f>
        <v>13757.1</v>
      </c>
      <c r="I93" s="9">
        <v>39766.949999999997</v>
      </c>
      <c r="J93" s="10">
        <v>46192</v>
      </c>
      <c r="K93" s="2"/>
      <c r="L93" s="8">
        <f>Tabela1[[#This Row],[Saldo Pedido]]/Tabela1[[#This Row],[Total do Pedido]]</f>
        <v>0.65405694930086422</v>
      </c>
      <c r="M93" s="8">
        <f>Tabela1[[#This Row],[Total Despachado]]/Tabela1[[#This Row],[Total do Pedido]]</f>
        <v>0</v>
      </c>
      <c r="N93" s="2">
        <v>46169</v>
      </c>
      <c r="O93" s="2">
        <v>46169</v>
      </c>
      <c r="P93" s="2"/>
      <c r="Q93" s="10">
        <v>46171</v>
      </c>
      <c r="S93" s="1" t="s">
        <v>48</v>
      </c>
      <c r="T93" s="1" t="s">
        <v>32</v>
      </c>
      <c r="U93" s="1">
        <v>12</v>
      </c>
      <c r="V93" s="1" t="s">
        <v>49</v>
      </c>
      <c r="W93" s="1" t="s">
        <v>35</v>
      </c>
      <c r="X93" s="1" t="s">
        <v>52</v>
      </c>
      <c r="Y93" s="1" t="s">
        <v>43</v>
      </c>
      <c r="Z93" s="9">
        <v>13757.1</v>
      </c>
      <c r="AA93" s="9">
        <v>26009.85</v>
      </c>
      <c r="AB93" s="9">
        <v>22974.35</v>
      </c>
      <c r="AC93" s="9">
        <v>22464.35</v>
      </c>
      <c r="AD93" s="9">
        <v>510</v>
      </c>
      <c r="AE93" s="9">
        <v>13757.1</v>
      </c>
      <c r="AF93" s="9">
        <v>0</v>
      </c>
      <c r="AG93" s="9">
        <v>39766.949999999997</v>
      </c>
      <c r="AH93" s="9">
        <v>0</v>
      </c>
      <c r="AI93" s="9">
        <v>0</v>
      </c>
      <c r="AJ93" s="11">
        <v>1</v>
      </c>
    </row>
    <row r="94" spans="1:36" hidden="1" x14ac:dyDescent="0.3">
      <c r="A94" s="1" t="s">
        <v>68</v>
      </c>
      <c r="B94" s="1">
        <v>218000</v>
      </c>
      <c r="C94" s="1"/>
      <c r="D94" s="1" t="s">
        <v>69</v>
      </c>
      <c r="E94" s="7" t="s">
        <v>78</v>
      </c>
      <c r="F94" s="7" t="s">
        <v>41</v>
      </c>
      <c r="G94" s="8">
        <f>SUM(Tabela1[[#This Row],[Total em Romaneio]],Tabela1[[#This Row],[Saldo Despacho]])/Tabela1[[#This Row],[Total do Pedido]]</f>
        <v>0.28484648709738181</v>
      </c>
      <c r="H94" s="42">
        <f>SUM(Tabela1[[#This Row],[Total em Romaneio]],Tabela1[[#This Row],[Saldo Despacho]])</f>
        <v>10101.83</v>
      </c>
      <c r="I94" s="9">
        <v>35464.120000000003</v>
      </c>
      <c r="J94" s="10">
        <v>46167</v>
      </c>
      <c r="K94" s="2"/>
      <c r="L94" s="8">
        <f>Tabela1[[#This Row],[Saldo Pedido]]/Tabela1[[#This Row],[Total do Pedido]]</f>
        <v>0.71515351290261819</v>
      </c>
      <c r="M94" s="8">
        <f>Tabela1[[#This Row],[Total Despachado]]/Tabela1[[#This Row],[Total do Pedido]]</f>
        <v>0</v>
      </c>
      <c r="N94" s="2">
        <v>46157</v>
      </c>
      <c r="O94" s="2">
        <v>46161</v>
      </c>
      <c r="P94" s="2"/>
      <c r="S94" s="1" t="s">
        <v>48</v>
      </c>
      <c r="T94" s="1" t="s">
        <v>32</v>
      </c>
      <c r="U94" s="1">
        <v>12</v>
      </c>
      <c r="V94" s="1" t="s">
        <v>39</v>
      </c>
      <c r="W94" s="1" t="s">
        <v>35</v>
      </c>
      <c r="X94" s="1" t="s">
        <v>36</v>
      </c>
      <c r="Y94" s="1" t="s">
        <v>43</v>
      </c>
      <c r="Z94" s="9">
        <v>10101.83</v>
      </c>
      <c r="AA94" s="9">
        <v>25362.29</v>
      </c>
      <c r="AB94" s="9">
        <v>10500.96</v>
      </c>
      <c r="AC94" s="9">
        <v>7849</v>
      </c>
      <c r="AD94" s="9">
        <v>2651.96</v>
      </c>
      <c r="AE94" s="9">
        <v>10101.83</v>
      </c>
      <c r="AF94" s="9">
        <v>0</v>
      </c>
      <c r="AG94" s="9">
        <v>35464.120000000003</v>
      </c>
      <c r="AH94" s="9">
        <v>0</v>
      </c>
      <c r="AI94" s="9">
        <v>0</v>
      </c>
      <c r="AJ94" s="11">
        <v>1</v>
      </c>
    </row>
    <row r="95" spans="1:36" hidden="1" x14ac:dyDescent="0.3">
      <c r="A95" s="1" t="s">
        <v>111</v>
      </c>
      <c r="B95" s="1">
        <v>216450</v>
      </c>
      <c r="C95" s="1">
        <v>113519</v>
      </c>
      <c r="D95" s="1" t="s">
        <v>112</v>
      </c>
      <c r="E95" s="7" t="s">
        <v>78</v>
      </c>
      <c r="F95" s="7" t="s">
        <v>41</v>
      </c>
      <c r="G95" s="8">
        <f>SUM(Tabela1[[#This Row],[Total em Romaneio]],Tabela1[[#This Row],[Saldo Despacho]])/Tabela1[[#This Row],[Total do Pedido]]</f>
        <v>0.28317136534205717</v>
      </c>
      <c r="H95" s="42">
        <f>SUM(Tabela1[[#This Row],[Total em Romaneio]],Tabela1[[#This Row],[Saldo Despacho]])</f>
        <v>34168.230000000003</v>
      </c>
      <c r="I95" s="9">
        <v>120662.73</v>
      </c>
      <c r="J95" s="10">
        <v>46170</v>
      </c>
      <c r="K95" s="2"/>
      <c r="L95" s="8">
        <f>Tabela1[[#This Row],[Saldo Pedido]]/Tabela1[[#This Row],[Total do Pedido]]</f>
        <v>0.21649186952756663</v>
      </c>
      <c r="M95" s="8">
        <f>Tabela1[[#This Row],[Total Despachado]]/Tabela1[[#This Row],[Total do Pedido]]</f>
        <v>0</v>
      </c>
      <c r="N95" s="2">
        <v>46111</v>
      </c>
      <c r="O95" s="2">
        <v>46112</v>
      </c>
      <c r="P95" s="2">
        <v>46139</v>
      </c>
      <c r="Q95" s="10">
        <v>46157</v>
      </c>
      <c r="R95" s="10">
        <v>46178</v>
      </c>
      <c r="S95" s="1" t="s">
        <v>31</v>
      </c>
      <c r="T95" s="1" t="s">
        <v>38</v>
      </c>
      <c r="U95" s="1">
        <v>12</v>
      </c>
      <c r="V95" s="1" t="s">
        <v>33</v>
      </c>
      <c r="W95" s="1" t="s">
        <v>35</v>
      </c>
      <c r="X95" s="1" t="s">
        <v>52</v>
      </c>
      <c r="Y95" s="1" t="s">
        <v>43</v>
      </c>
      <c r="Z95" s="9">
        <v>94540.23</v>
      </c>
      <c r="AA95" s="9">
        <v>26122.5</v>
      </c>
      <c r="AB95" s="9">
        <v>49470.21</v>
      </c>
      <c r="AC95" s="9">
        <v>49470.21</v>
      </c>
      <c r="AD95" s="9">
        <v>0</v>
      </c>
      <c r="AE95" s="9">
        <v>34168.230000000003</v>
      </c>
      <c r="AF95" s="9">
        <v>0</v>
      </c>
      <c r="AG95" s="9">
        <v>120662.73</v>
      </c>
      <c r="AH95" s="9">
        <v>0</v>
      </c>
      <c r="AI95" s="9">
        <v>0</v>
      </c>
      <c r="AJ95" s="11">
        <v>1</v>
      </c>
    </row>
    <row r="96" spans="1:36" hidden="1" x14ac:dyDescent="0.3">
      <c r="A96" s="1" t="s">
        <v>111</v>
      </c>
      <c r="B96" s="1">
        <v>216367</v>
      </c>
      <c r="C96" s="1">
        <v>113261</v>
      </c>
      <c r="D96" s="1" t="s">
        <v>112</v>
      </c>
      <c r="E96" s="7" t="s">
        <v>78</v>
      </c>
      <c r="F96" s="7" t="s">
        <v>41</v>
      </c>
      <c r="G96" s="8">
        <f>SUM(Tabela1[[#This Row],[Total em Romaneio]],Tabela1[[#This Row],[Saldo Despacho]])/Tabela1[[#This Row],[Total do Pedido]]</f>
        <v>0.27971516486472853</v>
      </c>
      <c r="H96" s="42">
        <f>SUM(Tabela1[[#This Row],[Total em Romaneio]],Tabela1[[#This Row],[Saldo Despacho]])</f>
        <v>33271</v>
      </c>
      <c r="I96" s="9">
        <v>118946</v>
      </c>
      <c r="J96" s="10">
        <v>46170</v>
      </c>
      <c r="K96" s="2"/>
      <c r="L96" s="8">
        <f>Tabela1[[#This Row],[Saldo Pedido]]/Tabela1[[#This Row],[Total do Pedido]]</f>
        <v>0.21753568846367258</v>
      </c>
      <c r="M96" s="8">
        <f>Tabela1[[#This Row],[Total Despachado]]/Tabela1[[#This Row],[Total do Pedido]]</f>
        <v>0</v>
      </c>
      <c r="N96" s="2">
        <v>46108</v>
      </c>
      <c r="O96" s="2">
        <v>46112</v>
      </c>
      <c r="P96" s="2">
        <v>46139</v>
      </c>
      <c r="Q96" s="10">
        <v>46157</v>
      </c>
      <c r="R96" s="10">
        <v>46178</v>
      </c>
      <c r="S96" s="1" t="s">
        <v>31</v>
      </c>
      <c r="T96" s="1" t="s">
        <v>38</v>
      </c>
      <c r="U96" s="1">
        <v>12</v>
      </c>
      <c r="V96" s="1" t="s">
        <v>33</v>
      </c>
      <c r="W96" s="1" t="s">
        <v>35</v>
      </c>
      <c r="X96" s="1" t="s">
        <v>52</v>
      </c>
      <c r="Y96" s="1" t="s">
        <v>43</v>
      </c>
      <c r="Z96" s="9">
        <v>93071</v>
      </c>
      <c r="AA96" s="9">
        <v>25875</v>
      </c>
      <c r="AB96" s="9">
        <v>48537.1</v>
      </c>
      <c r="AC96" s="9">
        <v>48537.1</v>
      </c>
      <c r="AD96" s="9">
        <v>0</v>
      </c>
      <c r="AE96" s="9">
        <v>33271</v>
      </c>
      <c r="AF96" s="9">
        <v>0</v>
      </c>
      <c r="AG96" s="9">
        <v>118946</v>
      </c>
      <c r="AH96" s="9">
        <v>0</v>
      </c>
      <c r="AI96" s="9">
        <v>0</v>
      </c>
      <c r="AJ96" s="11">
        <v>1</v>
      </c>
    </row>
    <row r="97" spans="1:36" hidden="1" x14ac:dyDescent="0.3">
      <c r="A97" s="1" t="s">
        <v>80</v>
      </c>
      <c r="B97" s="1">
        <v>215168</v>
      </c>
      <c r="C97" s="1">
        <v>113001</v>
      </c>
      <c r="D97" s="1" t="s">
        <v>81</v>
      </c>
      <c r="E97" s="7" t="s">
        <v>71</v>
      </c>
      <c r="F97" s="7" t="s">
        <v>41</v>
      </c>
      <c r="G97" s="8">
        <f>SUM(Tabela1[[#This Row],[Total em Romaneio]],Tabela1[[#This Row],[Saldo Despacho]])/Tabela1[[#This Row],[Total do Pedido]]</f>
        <v>0.27520737485538549</v>
      </c>
      <c r="H97" s="42">
        <f>SUM(Tabela1[[#This Row],[Total em Romaneio]],Tabela1[[#This Row],[Saldo Despacho]])</f>
        <v>55102.559999999998</v>
      </c>
      <c r="I97" s="9">
        <v>200221.96</v>
      </c>
      <c r="J97" s="10">
        <v>46161</v>
      </c>
      <c r="K97" s="2"/>
      <c r="L97" s="8">
        <f>Tabela1[[#This Row],[Saldo Pedido]]/Tabela1[[#This Row],[Total do Pedido]]</f>
        <v>0</v>
      </c>
      <c r="M97" s="8">
        <f>Tabela1[[#This Row],[Total Despachado]]/Tabela1[[#This Row],[Total do Pedido]]</f>
        <v>0.72479262514461451</v>
      </c>
      <c r="N97" s="2">
        <v>46065</v>
      </c>
      <c r="O97" s="2">
        <v>46066</v>
      </c>
      <c r="P97" s="2">
        <v>46085</v>
      </c>
      <c r="Q97" s="10">
        <v>46171</v>
      </c>
      <c r="R97" s="10">
        <v>46171</v>
      </c>
      <c r="S97" s="1" t="s">
        <v>66</v>
      </c>
      <c r="T97" s="1" t="s">
        <v>82</v>
      </c>
      <c r="U97" s="1">
        <v>12</v>
      </c>
      <c r="V97" s="1" t="s">
        <v>61</v>
      </c>
      <c r="X97" s="1" t="s">
        <v>51</v>
      </c>
      <c r="Y97" s="1" t="s">
        <v>37</v>
      </c>
      <c r="Z97" s="9">
        <v>200221.96</v>
      </c>
      <c r="AA97" s="9">
        <v>0</v>
      </c>
      <c r="AB97" s="9">
        <v>97150</v>
      </c>
      <c r="AC97" s="9">
        <v>97150</v>
      </c>
      <c r="AD97" s="9">
        <v>0</v>
      </c>
      <c r="AE97" s="9">
        <v>0</v>
      </c>
      <c r="AF97" s="9">
        <v>200221.96</v>
      </c>
      <c r="AG97" s="9">
        <v>0</v>
      </c>
      <c r="AH97" s="9">
        <v>145119.4</v>
      </c>
      <c r="AI97" s="9">
        <v>55102.559999999998</v>
      </c>
      <c r="AJ97" s="11">
        <v>1</v>
      </c>
    </row>
    <row r="98" spans="1:36" hidden="1" x14ac:dyDescent="0.3">
      <c r="A98" s="1" t="s">
        <v>53</v>
      </c>
      <c r="B98" s="1">
        <v>216190</v>
      </c>
      <c r="C98" s="1"/>
      <c r="D98" s="1" t="s">
        <v>54</v>
      </c>
      <c r="E98" s="7" t="s">
        <v>34</v>
      </c>
      <c r="F98" s="7" t="s">
        <v>77</v>
      </c>
      <c r="G98" s="8">
        <f>SUM(Tabela1[[#This Row],[Total em Romaneio]],Tabela1[[#This Row],[Saldo Despacho]])/Tabela1[[#This Row],[Total do Pedido]]</f>
        <v>0.27446211578546581</v>
      </c>
      <c r="H98" s="42">
        <f>SUM(Tabela1[[#This Row],[Total em Romaneio]],Tabela1[[#This Row],[Saldo Despacho]])</f>
        <v>3402.43</v>
      </c>
      <c r="I98" s="9">
        <v>12396.72</v>
      </c>
      <c r="J98" s="10">
        <v>46112</v>
      </c>
      <c r="K98" s="2"/>
      <c r="L98" s="8">
        <f>Tabela1[[#This Row],[Saldo Pedido]]/Tabela1[[#This Row],[Total do Pedido]]</f>
        <v>0</v>
      </c>
      <c r="M98" s="8">
        <f>Tabela1[[#This Row],[Total Despachado]]/Tabela1[[#This Row],[Total do Pedido]]</f>
        <v>0.72553788421453425</v>
      </c>
      <c r="N98" s="2">
        <v>46101</v>
      </c>
      <c r="O98" s="2">
        <v>46101</v>
      </c>
      <c r="P98" s="2"/>
      <c r="Q98" s="10">
        <v>46111</v>
      </c>
      <c r="S98" s="1" t="s">
        <v>31</v>
      </c>
      <c r="T98" s="1" t="s">
        <v>38</v>
      </c>
      <c r="U98" s="1">
        <v>12</v>
      </c>
      <c r="V98" s="1" t="s">
        <v>49</v>
      </c>
      <c r="W98" s="1" t="s">
        <v>35</v>
      </c>
      <c r="X98" s="1" t="s">
        <v>52</v>
      </c>
      <c r="Y98" s="1" t="s">
        <v>37</v>
      </c>
      <c r="Z98" s="9">
        <v>12396.72</v>
      </c>
      <c r="AA98" s="9">
        <v>0</v>
      </c>
      <c r="AB98" s="9">
        <v>1092.3399999999999</v>
      </c>
      <c r="AC98" s="9">
        <v>1092.3399999999999</v>
      </c>
      <c r="AD98" s="9">
        <v>0</v>
      </c>
      <c r="AE98" s="9">
        <v>0</v>
      </c>
      <c r="AF98" s="9">
        <v>12396.72</v>
      </c>
      <c r="AG98" s="9">
        <v>0</v>
      </c>
      <c r="AH98" s="9">
        <v>8994.2900000000009</v>
      </c>
      <c r="AI98" s="9">
        <v>3402.43</v>
      </c>
      <c r="AJ98" s="11">
        <v>1</v>
      </c>
    </row>
    <row r="99" spans="1:36" hidden="1" x14ac:dyDescent="0.3">
      <c r="A99" s="1" t="s">
        <v>138</v>
      </c>
      <c r="B99" s="1">
        <v>218386</v>
      </c>
      <c r="C99" s="1"/>
      <c r="D99" s="1" t="s">
        <v>139</v>
      </c>
      <c r="E99" s="7" t="s">
        <v>63</v>
      </c>
      <c r="F99" s="7" t="s">
        <v>41</v>
      </c>
      <c r="G99" s="8">
        <f>SUM(Tabela1[[#This Row],[Total em Romaneio]],Tabela1[[#This Row],[Saldo Despacho]])/Tabela1[[#This Row],[Total do Pedido]]</f>
        <v>0.25770929150039518</v>
      </c>
      <c r="H99" s="42">
        <f>SUM(Tabela1[[#This Row],[Total em Romaneio]],Tabela1[[#This Row],[Saldo Despacho]])</f>
        <v>25572.560000000001</v>
      </c>
      <c r="I99" s="9">
        <v>99230.26</v>
      </c>
      <c r="J99" s="10">
        <v>46176</v>
      </c>
      <c r="K99" s="2"/>
      <c r="L99" s="8">
        <f>Tabela1[[#This Row],[Saldo Pedido]]/Tabela1[[#This Row],[Total do Pedido]]</f>
        <v>0.74229070849960488</v>
      </c>
      <c r="M99" s="8">
        <f>Tabela1[[#This Row],[Total Despachado]]/Tabela1[[#This Row],[Total do Pedido]]</f>
        <v>0</v>
      </c>
      <c r="N99" s="2">
        <v>46171</v>
      </c>
      <c r="O99" s="2">
        <v>46171</v>
      </c>
      <c r="P99" s="2"/>
      <c r="S99" s="1" t="s">
        <v>48</v>
      </c>
      <c r="T99" s="1" t="s">
        <v>32</v>
      </c>
      <c r="U99" s="1">
        <v>12</v>
      </c>
      <c r="V99" s="1" t="s">
        <v>39</v>
      </c>
      <c r="W99" s="1" t="s">
        <v>35</v>
      </c>
      <c r="X99" s="1" t="s">
        <v>36</v>
      </c>
      <c r="Y99" s="1" t="s">
        <v>43</v>
      </c>
      <c r="Z99" s="9">
        <v>25572.560000000001</v>
      </c>
      <c r="AA99" s="9">
        <v>73657.7</v>
      </c>
      <c r="AB99" s="9">
        <v>41984.74</v>
      </c>
      <c r="AC99" s="9">
        <v>9625.24</v>
      </c>
      <c r="AD99" s="9">
        <v>32359.5</v>
      </c>
      <c r="AE99" s="9">
        <v>25572.560000000001</v>
      </c>
      <c r="AF99" s="9">
        <v>0</v>
      </c>
      <c r="AG99" s="9">
        <v>99230.26</v>
      </c>
      <c r="AH99" s="9">
        <v>0</v>
      </c>
      <c r="AI99" s="9">
        <v>0</v>
      </c>
      <c r="AJ99" s="11">
        <v>1</v>
      </c>
    </row>
    <row r="100" spans="1:36" hidden="1" x14ac:dyDescent="0.3">
      <c r="A100" s="1" t="s">
        <v>53</v>
      </c>
      <c r="B100" s="1">
        <v>216278</v>
      </c>
      <c r="C100" s="1">
        <v>113439</v>
      </c>
      <c r="D100" s="1" t="s">
        <v>54</v>
      </c>
      <c r="E100" s="7" t="s">
        <v>34</v>
      </c>
      <c r="F100" s="7" t="s">
        <v>77</v>
      </c>
      <c r="G100" s="8">
        <f>SUM(Tabela1[[#This Row],[Total em Romaneio]],Tabela1[[#This Row],[Saldo Despacho]])/Tabela1[[#This Row],[Total do Pedido]]</f>
        <v>0.24229655169489009</v>
      </c>
      <c r="H100" s="42">
        <f>SUM(Tabela1[[#This Row],[Total em Romaneio]],Tabela1[[#This Row],[Saldo Despacho]])</f>
        <v>2856.64</v>
      </c>
      <c r="I100" s="9">
        <v>11789.85</v>
      </c>
      <c r="J100" s="10">
        <v>46107</v>
      </c>
      <c r="K100" s="2"/>
      <c r="L100" s="8">
        <f>Tabela1[[#This Row],[Saldo Pedido]]/Tabela1[[#This Row],[Total do Pedido]]</f>
        <v>0</v>
      </c>
      <c r="M100" s="8">
        <f>Tabela1[[#This Row],[Total Despachado]]/Tabela1[[#This Row],[Total do Pedido]]</f>
        <v>0.75770344830510983</v>
      </c>
      <c r="N100" s="2">
        <v>46105</v>
      </c>
      <c r="O100" s="2">
        <v>46105</v>
      </c>
      <c r="P100" s="2"/>
      <c r="Q100" s="10">
        <v>46112</v>
      </c>
      <c r="S100" s="1" t="s">
        <v>31</v>
      </c>
      <c r="T100" s="1" t="s">
        <v>38</v>
      </c>
      <c r="U100" s="1">
        <v>12</v>
      </c>
      <c r="V100" s="1" t="s">
        <v>33</v>
      </c>
      <c r="W100" s="1" t="s">
        <v>35</v>
      </c>
      <c r="X100" s="1" t="s">
        <v>52</v>
      </c>
      <c r="Y100" s="1" t="s">
        <v>37</v>
      </c>
      <c r="Z100" s="9">
        <v>11789.85</v>
      </c>
      <c r="AA100" s="9">
        <v>0</v>
      </c>
      <c r="AB100" s="9">
        <v>1129.04</v>
      </c>
      <c r="AC100" s="9">
        <v>1039.24</v>
      </c>
      <c r="AD100" s="9">
        <v>89.8</v>
      </c>
      <c r="AE100" s="9">
        <v>0</v>
      </c>
      <c r="AF100" s="9">
        <v>11789.85</v>
      </c>
      <c r="AG100" s="9">
        <v>0</v>
      </c>
      <c r="AH100" s="9">
        <v>8933.2099999999991</v>
      </c>
      <c r="AI100" s="9">
        <v>2856.64</v>
      </c>
      <c r="AJ100" s="11">
        <v>1</v>
      </c>
    </row>
    <row r="101" spans="1:36" hidden="1" x14ac:dyDescent="0.3">
      <c r="A101" s="1" t="s">
        <v>72</v>
      </c>
      <c r="B101" s="1">
        <v>217848</v>
      </c>
      <c r="C101" s="1"/>
      <c r="D101" s="1" t="s">
        <v>73</v>
      </c>
      <c r="E101" s="7" t="s">
        <v>78</v>
      </c>
      <c r="F101" s="7" t="s">
        <v>41</v>
      </c>
      <c r="G101" s="8">
        <f>SUM(Tabela1[[#This Row],[Total em Romaneio]],Tabela1[[#This Row],[Saldo Despacho]])/Tabela1[[#This Row],[Total do Pedido]]</f>
        <v>0.24186448139243508</v>
      </c>
      <c r="H101" s="42">
        <f>SUM(Tabela1[[#This Row],[Total em Romaneio]],Tabela1[[#This Row],[Saldo Despacho]])</f>
        <v>857.1</v>
      </c>
      <c r="I101" s="9">
        <v>3543.72</v>
      </c>
      <c r="J101" s="10">
        <v>46157</v>
      </c>
      <c r="K101" s="2"/>
      <c r="L101" s="8">
        <f>Tabela1[[#This Row],[Saldo Pedido]]/Tabela1[[#This Row],[Total do Pedido]]</f>
        <v>0</v>
      </c>
      <c r="M101" s="8">
        <f>Tabela1[[#This Row],[Total Despachado]]/Tabela1[[#This Row],[Total do Pedido]]</f>
        <v>0.24186448139243508</v>
      </c>
      <c r="N101" s="2">
        <v>46150</v>
      </c>
      <c r="O101" s="2">
        <v>46153</v>
      </c>
      <c r="P101" s="2"/>
      <c r="Q101" s="10">
        <v>46171</v>
      </c>
      <c r="S101" s="1" t="s">
        <v>48</v>
      </c>
      <c r="T101" s="1" t="s">
        <v>32</v>
      </c>
      <c r="U101" s="1">
        <v>12</v>
      </c>
      <c r="V101" s="1" t="s">
        <v>39</v>
      </c>
      <c r="W101" s="1" t="s">
        <v>35</v>
      </c>
      <c r="X101" s="1" t="s">
        <v>51</v>
      </c>
      <c r="Y101" s="1" t="s">
        <v>37</v>
      </c>
      <c r="Z101" s="9">
        <v>3543.72</v>
      </c>
      <c r="AA101" s="9">
        <v>0</v>
      </c>
      <c r="AB101" s="9">
        <v>1181.68</v>
      </c>
      <c r="AC101" s="9">
        <v>1181.68</v>
      </c>
      <c r="AD101" s="9">
        <v>0</v>
      </c>
      <c r="AE101" s="9">
        <v>857.1</v>
      </c>
      <c r="AF101" s="9">
        <v>857.1</v>
      </c>
      <c r="AG101" s="9">
        <v>2686.62</v>
      </c>
      <c r="AH101" s="9">
        <v>857.1</v>
      </c>
      <c r="AI101" s="9">
        <v>0</v>
      </c>
      <c r="AJ101" s="11">
        <v>1</v>
      </c>
    </row>
    <row r="102" spans="1:36" hidden="1" x14ac:dyDescent="0.3">
      <c r="A102" s="1" t="s">
        <v>92</v>
      </c>
      <c r="B102" s="1">
        <v>217825</v>
      </c>
      <c r="C102" s="1">
        <v>114128</v>
      </c>
      <c r="D102" s="1" t="s">
        <v>93</v>
      </c>
      <c r="E102" s="7" t="s">
        <v>67</v>
      </c>
      <c r="F102" s="7" t="s">
        <v>41</v>
      </c>
      <c r="G102" s="8">
        <f>SUM(Tabela1[[#This Row],[Total em Romaneio]],Tabela1[[#This Row],[Saldo Despacho]])/Tabela1[[#This Row],[Total do Pedido]]</f>
        <v>0.23969422985045025</v>
      </c>
      <c r="H102" s="42">
        <f>SUM(Tabela1[[#This Row],[Total em Romaneio]],Tabela1[[#This Row],[Saldo Despacho]])</f>
        <v>39353.199999999997</v>
      </c>
      <c r="I102" s="9">
        <v>164180.84</v>
      </c>
      <c r="J102" s="10">
        <v>46159</v>
      </c>
      <c r="K102" s="2"/>
      <c r="L102" s="8">
        <f>Tabela1[[#This Row],[Saldo Pedido]]/Tabela1[[#This Row],[Total do Pedido]]</f>
        <v>0.47208517144875123</v>
      </c>
      <c r="M102" s="8">
        <f>Tabela1[[#This Row],[Total Despachado]]/Tabela1[[#This Row],[Total do Pedido]]</f>
        <v>9.6941884327062765E-3</v>
      </c>
      <c r="N102" s="2">
        <v>46149</v>
      </c>
      <c r="O102" s="2">
        <v>46153</v>
      </c>
      <c r="P102" s="2">
        <v>46159</v>
      </c>
      <c r="Q102" s="10">
        <v>46168</v>
      </c>
      <c r="S102" s="1" t="s">
        <v>31</v>
      </c>
      <c r="T102" s="1" t="s">
        <v>32</v>
      </c>
      <c r="U102" s="1">
        <v>12</v>
      </c>
      <c r="V102" s="1" t="s">
        <v>33</v>
      </c>
      <c r="W102" s="1" t="s">
        <v>35</v>
      </c>
      <c r="X102" s="1" t="s">
        <v>52</v>
      </c>
      <c r="Y102" s="1" t="s">
        <v>43</v>
      </c>
      <c r="Z102" s="9">
        <v>86673.5</v>
      </c>
      <c r="AA102" s="9">
        <v>77507.34</v>
      </c>
      <c r="AB102" s="9">
        <v>65043.75</v>
      </c>
      <c r="AC102" s="9">
        <v>64341.04</v>
      </c>
      <c r="AD102" s="9">
        <v>702.71</v>
      </c>
      <c r="AE102" s="9">
        <v>39353.199999999997</v>
      </c>
      <c r="AF102" s="9">
        <v>1591.6</v>
      </c>
      <c r="AG102" s="9">
        <v>162589.24</v>
      </c>
      <c r="AH102" s="9">
        <v>1591.6</v>
      </c>
      <c r="AI102" s="9">
        <v>0</v>
      </c>
      <c r="AJ102" s="11">
        <v>1</v>
      </c>
    </row>
    <row r="103" spans="1:36" hidden="1" x14ac:dyDescent="0.3">
      <c r="A103" s="1" t="s">
        <v>111</v>
      </c>
      <c r="B103" s="1">
        <v>216372</v>
      </c>
      <c r="C103" s="1">
        <v>113259</v>
      </c>
      <c r="D103" s="1" t="s">
        <v>112</v>
      </c>
      <c r="E103" s="7" t="s">
        <v>78</v>
      </c>
      <c r="F103" s="7" t="s">
        <v>41</v>
      </c>
      <c r="G103" s="8">
        <f>SUM(Tabela1[[#This Row],[Total em Romaneio]],Tabela1[[#This Row],[Saldo Despacho]])/Tabela1[[#This Row],[Total do Pedido]]</f>
        <v>0.2190683145457015</v>
      </c>
      <c r="H103" s="42">
        <f>SUM(Tabela1[[#This Row],[Total em Romaneio]],Tabela1[[#This Row],[Saldo Despacho]])</f>
        <v>13404.03</v>
      </c>
      <c r="I103" s="9">
        <v>61186.53</v>
      </c>
      <c r="J103" s="10">
        <v>46170</v>
      </c>
      <c r="K103" s="2"/>
      <c r="L103" s="8">
        <f>Tabela1[[#This Row],[Saldo Pedido]]/Tabela1[[#This Row],[Total do Pedido]]</f>
        <v>0.30558196387342118</v>
      </c>
      <c r="M103" s="8">
        <f>Tabela1[[#This Row],[Total Despachado]]/Tabela1[[#This Row],[Total do Pedido]]</f>
        <v>0</v>
      </c>
      <c r="N103" s="2">
        <v>46108</v>
      </c>
      <c r="O103" s="2">
        <v>46112</v>
      </c>
      <c r="P103" s="2">
        <v>46139</v>
      </c>
      <c r="Q103" s="10">
        <v>46156</v>
      </c>
      <c r="R103" s="10">
        <v>46178</v>
      </c>
      <c r="S103" s="1" t="s">
        <v>31</v>
      </c>
      <c r="T103" s="1" t="s">
        <v>38</v>
      </c>
      <c r="U103" s="1">
        <v>12</v>
      </c>
      <c r="V103" s="1" t="s">
        <v>33</v>
      </c>
      <c r="W103" s="1" t="s">
        <v>35</v>
      </c>
      <c r="X103" s="1" t="s">
        <v>52</v>
      </c>
      <c r="Y103" s="1" t="s">
        <v>43</v>
      </c>
      <c r="Z103" s="9">
        <v>42489.03</v>
      </c>
      <c r="AA103" s="9">
        <v>18697.5</v>
      </c>
      <c r="AB103" s="9">
        <v>26384.25</v>
      </c>
      <c r="AC103" s="9">
        <v>26384.25</v>
      </c>
      <c r="AD103" s="9">
        <v>0</v>
      </c>
      <c r="AE103" s="9">
        <v>13404.03</v>
      </c>
      <c r="AF103" s="9">
        <v>0</v>
      </c>
      <c r="AG103" s="9">
        <v>61186.53</v>
      </c>
      <c r="AH103" s="9">
        <v>0</v>
      </c>
      <c r="AI103" s="9">
        <v>0</v>
      </c>
      <c r="AJ103" s="11">
        <v>1</v>
      </c>
    </row>
    <row r="104" spans="1:36" hidden="1" x14ac:dyDescent="0.3">
      <c r="A104" s="1" t="s">
        <v>111</v>
      </c>
      <c r="B104" s="1">
        <v>216377</v>
      </c>
      <c r="C104" s="1">
        <v>113260</v>
      </c>
      <c r="D104" s="1" t="s">
        <v>112</v>
      </c>
      <c r="E104" s="7" t="s">
        <v>78</v>
      </c>
      <c r="F104" s="7" t="s">
        <v>41</v>
      </c>
      <c r="G104" s="8">
        <f>SUM(Tabela1[[#This Row],[Total em Romaneio]],Tabela1[[#This Row],[Saldo Despacho]])/Tabela1[[#This Row],[Total do Pedido]]</f>
        <v>0.2190683145457015</v>
      </c>
      <c r="H104" s="42">
        <f>SUM(Tabela1[[#This Row],[Total em Romaneio]],Tabela1[[#This Row],[Saldo Despacho]])</f>
        <v>13226.6</v>
      </c>
      <c r="I104" s="9">
        <v>60376.6</v>
      </c>
      <c r="J104" s="10">
        <v>46170</v>
      </c>
      <c r="K104" s="2"/>
      <c r="L104" s="8">
        <f>Tabela1[[#This Row],[Saldo Pedido]]/Tabela1[[#This Row],[Total do Pedido]]</f>
        <v>0.30558196387342118</v>
      </c>
      <c r="M104" s="8">
        <f>Tabela1[[#This Row],[Total Despachado]]/Tabela1[[#This Row],[Total do Pedido]]</f>
        <v>0</v>
      </c>
      <c r="N104" s="2">
        <v>46108</v>
      </c>
      <c r="O104" s="2">
        <v>46112</v>
      </c>
      <c r="P104" s="2">
        <v>46139</v>
      </c>
      <c r="Q104" s="10">
        <v>46156</v>
      </c>
      <c r="R104" s="10">
        <v>46178</v>
      </c>
      <c r="S104" s="1" t="s">
        <v>31</v>
      </c>
      <c r="T104" s="1" t="s">
        <v>38</v>
      </c>
      <c r="U104" s="1">
        <v>12</v>
      </c>
      <c r="V104" s="1" t="s">
        <v>33</v>
      </c>
      <c r="W104" s="1" t="s">
        <v>35</v>
      </c>
      <c r="X104" s="1" t="s">
        <v>52</v>
      </c>
      <c r="Y104" s="1" t="s">
        <v>43</v>
      </c>
      <c r="Z104" s="9">
        <v>41926.6</v>
      </c>
      <c r="AA104" s="9">
        <v>18450</v>
      </c>
      <c r="AB104" s="9">
        <v>26035</v>
      </c>
      <c r="AC104" s="9">
        <v>26035</v>
      </c>
      <c r="AD104" s="9">
        <v>0</v>
      </c>
      <c r="AE104" s="9">
        <v>13226.6</v>
      </c>
      <c r="AF104" s="9">
        <v>0</v>
      </c>
      <c r="AG104" s="9">
        <v>60376.6</v>
      </c>
      <c r="AH104" s="9">
        <v>0</v>
      </c>
      <c r="AI104" s="9">
        <v>0</v>
      </c>
      <c r="AJ104" s="11">
        <v>1</v>
      </c>
    </row>
    <row r="105" spans="1:36" hidden="1" x14ac:dyDescent="0.3">
      <c r="A105" s="1" t="s">
        <v>111</v>
      </c>
      <c r="B105" s="1">
        <v>216374</v>
      </c>
      <c r="C105" s="1">
        <v>113258</v>
      </c>
      <c r="D105" s="1" t="s">
        <v>112</v>
      </c>
      <c r="E105" s="7" t="s">
        <v>78</v>
      </c>
      <c r="F105" s="7" t="s">
        <v>41</v>
      </c>
      <c r="G105" s="8">
        <f>SUM(Tabela1[[#This Row],[Total em Romaneio]],Tabela1[[#This Row],[Saldo Despacho]])/Tabela1[[#This Row],[Total do Pedido]]</f>
        <v>0.2190683145457015</v>
      </c>
      <c r="H105" s="42">
        <f>SUM(Tabela1[[#This Row],[Total em Romaneio]],Tabela1[[#This Row],[Saldo Despacho]])</f>
        <v>6903.64</v>
      </c>
      <c r="I105" s="9">
        <v>31513.64</v>
      </c>
      <c r="J105" s="10">
        <v>46170</v>
      </c>
      <c r="K105" s="2"/>
      <c r="L105" s="8">
        <f>Tabela1[[#This Row],[Saldo Pedido]]/Tabela1[[#This Row],[Total do Pedido]]</f>
        <v>0.30558196387342118</v>
      </c>
      <c r="M105" s="8">
        <f>Tabela1[[#This Row],[Total Despachado]]/Tabela1[[#This Row],[Total do Pedido]]</f>
        <v>0</v>
      </c>
      <c r="N105" s="2">
        <v>46108</v>
      </c>
      <c r="O105" s="2">
        <v>46112</v>
      </c>
      <c r="P105" s="2">
        <v>46139</v>
      </c>
      <c r="Q105" s="10">
        <v>46156</v>
      </c>
      <c r="R105" s="10">
        <v>46178</v>
      </c>
      <c r="S105" s="1" t="s">
        <v>31</v>
      </c>
      <c r="T105" s="1" t="s">
        <v>38</v>
      </c>
      <c r="U105" s="1">
        <v>12</v>
      </c>
      <c r="V105" s="1" t="s">
        <v>33</v>
      </c>
      <c r="W105" s="1" t="s">
        <v>35</v>
      </c>
      <c r="X105" s="1" t="s">
        <v>52</v>
      </c>
      <c r="Y105" s="1" t="s">
        <v>43</v>
      </c>
      <c r="Z105" s="9">
        <v>21883.64</v>
      </c>
      <c r="AA105" s="9">
        <v>9630</v>
      </c>
      <c r="AB105" s="9">
        <v>13589</v>
      </c>
      <c r="AC105" s="9">
        <v>13589</v>
      </c>
      <c r="AD105" s="9">
        <v>0</v>
      </c>
      <c r="AE105" s="9">
        <v>6903.64</v>
      </c>
      <c r="AF105" s="9">
        <v>0</v>
      </c>
      <c r="AG105" s="9">
        <v>31513.64</v>
      </c>
      <c r="AH105" s="9">
        <v>0</v>
      </c>
      <c r="AI105" s="9">
        <v>0</v>
      </c>
      <c r="AJ105" s="11">
        <v>1</v>
      </c>
    </row>
    <row r="106" spans="1:36" hidden="1" x14ac:dyDescent="0.3">
      <c r="A106" s="1" t="s">
        <v>148</v>
      </c>
      <c r="B106" s="1">
        <v>218115</v>
      </c>
      <c r="C106" s="1">
        <v>114258</v>
      </c>
      <c r="D106" s="1" t="s">
        <v>149</v>
      </c>
      <c r="E106" s="7" t="s">
        <v>78</v>
      </c>
      <c r="F106" s="7" t="s">
        <v>41</v>
      </c>
      <c r="G106" s="8">
        <f>SUM(Tabela1[[#This Row],[Total em Romaneio]],Tabela1[[#This Row],[Saldo Despacho]])/Tabela1[[#This Row],[Total do Pedido]]</f>
        <v>0.21150075313284314</v>
      </c>
      <c r="H106" s="42">
        <f>SUM(Tabela1[[#This Row],[Total em Romaneio]],Tabela1[[#This Row],[Saldo Despacho]])</f>
        <v>175222.6</v>
      </c>
      <c r="I106" s="9">
        <v>828472.7</v>
      </c>
      <c r="J106" s="10">
        <v>46171</v>
      </c>
      <c r="K106" s="2"/>
      <c r="L106" s="8">
        <f>Tabela1[[#This Row],[Saldo Pedido]]/Tabela1[[#This Row],[Total do Pedido]]</f>
        <v>0.78849924686715689</v>
      </c>
      <c r="M106" s="8">
        <f>Tabela1[[#This Row],[Total Despachado]]/Tabela1[[#This Row],[Total do Pedido]]</f>
        <v>0</v>
      </c>
      <c r="N106" s="2">
        <v>46161</v>
      </c>
      <c r="O106" s="2">
        <v>46161</v>
      </c>
      <c r="P106" s="2"/>
      <c r="S106" s="1" t="s">
        <v>66</v>
      </c>
      <c r="T106" s="1" t="s">
        <v>32</v>
      </c>
      <c r="U106" s="1">
        <v>12</v>
      </c>
      <c r="V106" s="1" t="s">
        <v>33</v>
      </c>
      <c r="W106" s="1" t="s">
        <v>35</v>
      </c>
      <c r="X106" s="1" t="s">
        <v>36</v>
      </c>
      <c r="Y106" s="1" t="s">
        <v>43</v>
      </c>
      <c r="Z106" s="9">
        <v>175222.6</v>
      </c>
      <c r="AA106" s="9">
        <v>653250.1</v>
      </c>
      <c r="AB106" s="9">
        <v>202772.66</v>
      </c>
      <c r="AC106" s="9">
        <v>271.92</v>
      </c>
      <c r="AD106" s="9">
        <v>202500.74</v>
      </c>
      <c r="AE106" s="9">
        <v>175222.6</v>
      </c>
      <c r="AF106" s="9">
        <v>0</v>
      </c>
      <c r="AG106" s="9">
        <v>828472.7</v>
      </c>
      <c r="AH106" s="9">
        <v>0</v>
      </c>
      <c r="AI106" s="9">
        <v>0</v>
      </c>
      <c r="AJ106" s="11">
        <v>1</v>
      </c>
    </row>
    <row r="107" spans="1:36" hidden="1" x14ac:dyDescent="0.3">
      <c r="A107" s="1" t="s">
        <v>72</v>
      </c>
      <c r="B107" s="1">
        <v>217816</v>
      </c>
      <c r="C107" s="1"/>
      <c r="D107" s="1" t="s">
        <v>73</v>
      </c>
      <c r="E107" s="7" t="s">
        <v>70</v>
      </c>
      <c r="F107" s="7" t="s">
        <v>41</v>
      </c>
      <c r="G107" s="8">
        <f>SUM(Tabela1[[#This Row],[Total em Romaneio]],Tabela1[[#This Row],[Saldo Despacho]])/Tabela1[[#This Row],[Total do Pedido]]</f>
        <v>0.18624089953882983</v>
      </c>
      <c r="H107" s="42">
        <f>SUM(Tabela1[[#This Row],[Total em Romaneio]],Tabela1[[#This Row],[Saldo Despacho]])</f>
        <v>11850</v>
      </c>
      <c r="I107" s="9">
        <v>63627.27</v>
      </c>
      <c r="J107" s="10">
        <v>46178</v>
      </c>
      <c r="K107" s="2"/>
      <c r="L107" s="8">
        <f>Tabela1[[#This Row],[Saldo Pedido]]/Tabela1[[#This Row],[Total do Pedido]]</f>
        <v>0.81375910046117017</v>
      </c>
      <c r="M107" s="8">
        <f>Tabela1[[#This Row],[Total Despachado]]/Tabela1[[#This Row],[Total do Pedido]]</f>
        <v>0</v>
      </c>
      <c r="N107" s="2">
        <v>46149</v>
      </c>
      <c r="O107" s="2">
        <v>46171</v>
      </c>
      <c r="P107" s="2"/>
      <c r="S107" s="1" t="s">
        <v>48</v>
      </c>
      <c r="T107" s="1" t="s">
        <v>32</v>
      </c>
      <c r="U107" s="1">
        <v>12</v>
      </c>
      <c r="V107" s="1" t="s">
        <v>39</v>
      </c>
      <c r="W107" s="1" t="s">
        <v>35</v>
      </c>
      <c r="X107" s="1" t="s">
        <v>36</v>
      </c>
      <c r="Y107" s="1" t="s">
        <v>43</v>
      </c>
      <c r="Z107" s="9">
        <v>11850</v>
      </c>
      <c r="AA107" s="9">
        <v>51777.27</v>
      </c>
      <c r="AB107" s="9">
        <v>12900</v>
      </c>
      <c r="AC107" s="9">
        <v>0</v>
      </c>
      <c r="AD107" s="9">
        <v>12900</v>
      </c>
      <c r="AE107" s="9">
        <v>11850</v>
      </c>
      <c r="AF107" s="9">
        <v>0</v>
      </c>
      <c r="AG107" s="9">
        <v>63627.27</v>
      </c>
      <c r="AH107" s="9">
        <v>0</v>
      </c>
      <c r="AI107" s="9">
        <v>0</v>
      </c>
      <c r="AJ107" s="11">
        <v>1</v>
      </c>
    </row>
    <row r="108" spans="1:36" hidden="1" x14ac:dyDescent="0.3">
      <c r="A108" s="1" t="s">
        <v>83</v>
      </c>
      <c r="B108" s="1">
        <v>218311</v>
      </c>
      <c r="C108" s="1"/>
      <c r="D108" s="1" t="s">
        <v>84</v>
      </c>
      <c r="E108" s="7" t="s">
        <v>63</v>
      </c>
      <c r="F108" s="7" t="s">
        <v>41</v>
      </c>
      <c r="G108" s="8">
        <f>SUM(Tabela1[[#This Row],[Total em Romaneio]],Tabela1[[#This Row],[Saldo Despacho]])/Tabela1[[#This Row],[Total do Pedido]]</f>
        <v>0.95673865578351247</v>
      </c>
      <c r="H108" s="42">
        <f>SUM(Tabela1[[#This Row],[Total em Romaneio]],Tabela1[[#This Row],[Saldo Despacho]])</f>
        <v>56946.96</v>
      </c>
      <c r="I108" s="9">
        <v>59521.96</v>
      </c>
      <c r="J108" s="10">
        <v>46181</v>
      </c>
      <c r="K108" s="2"/>
      <c r="L108" s="8">
        <f>Tabela1[[#This Row],[Saldo Pedido]]/Tabela1[[#This Row],[Total do Pedido]]</f>
        <v>4.3261344216487495E-2</v>
      </c>
      <c r="M108" s="8">
        <f>Tabela1[[#This Row],[Total Despachado]]/Tabela1[[#This Row],[Total do Pedido]]</f>
        <v>0</v>
      </c>
      <c r="N108" s="2">
        <v>46169</v>
      </c>
      <c r="O108" s="2">
        <v>46169</v>
      </c>
      <c r="P108" s="2"/>
      <c r="Q108" s="10">
        <v>46171</v>
      </c>
      <c r="S108" s="1" t="s">
        <v>31</v>
      </c>
      <c r="T108" s="1" t="s">
        <v>38</v>
      </c>
      <c r="U108" s="1">
        <v>12</v>
      </c>
      <c r="V108" s="1" t="s">
        <v>49</v>
      </c>
      <c r="W108" s="1" t="s">
        <v>35</v>
      </c>
      <c r="X108" s="1" t="s">
        <v>52</v>
      </c>
      <c r="Y108" s="1" t="s">
        <v>43</v>
      </c>
      <c r="Z108" s="9">
        <v>56946.96</v>
      </c>
      <c r="AA108" s="9">
        <v>2575</v>
      </c>
      <c r="AB108" s="9">
        <v>6486.05</v>
      </c>
      <c r="AC108" s="9">
        <v>4960.62</v>
      </c>
      <c r="AD108" s="9">
        <v>1525.43</v>
      </c>
      <c r="AE108" s="9">
        <v>0</v>
      </c>
      <c r="AF108" s="9">
        <v>9009</v>
      </c>
      <c r="AG108" s="9">
        <v>50512.959999999999</v>
      </c>
      <c r="AH108" s="9">
        <v>0</v>
      </c>
      <c r="AI108" s="9">
        <v>56946.96</v>
      </c>
      <c r="AJ108" s="11">
        <v>1</v>
      </c>
    </row>
    <row r="109" spans="1:36" hidden="1" x14ac:dyDescent="0.3">
      <c r="A109" s="1" t="s">
        <v>138</v>
      </c>
      <c r="B109" s="1">
        <v>217805</v>
      </c>
      <c r="C109" s="1">
        <v>114124</v>
      </c>
      <c r="D109" s="1" t="s">
        <v>139</v>
      </c>
      <c r="E109" s="7" t="s">
        <v>34</v>
      </c>
      <c r="F109" s="7" t="s">
        <v>76</v>
      </c>
      <c r="G109" s="8">
        <f>SUM(Tabela1[[#This Row],[Total em Romaneio]],Tabela1[[#This Row],[Saldo Despacho]])/Tabela1[[#This Row],[Total do Pedido]]</f>
        <v>0.14543429437434954</v>
      </c>
      <c r="H109" s="42">
        <f>SUM(Tabela1[[#This Row],[Total em Romaneio]],Tabela1[[#This Row],[Saldo Despacho]])</f>
        <v>159.30000000000001</v>
      </c>
      <c r="I109" s="9">
        <v>1095.3399999999999</v>
      </c>
      <c r="J109" s="10">
        <v>46156</v>
      </c>
      <c r="K109" s="2"/>
      <c r="L109" s="8">
        <f>Tabela1[[#This Row],[Saldo Pedido]]/Tabela1[[#This Row],[Total do Pedido]]</f>
        <v>0</v>
      </c>
      <c r="M109" s="8">
        <f>Tabela1[[#This Row],[Total Despachado]]/Tabela1[[#This Row],[Total do Pedido]]</f>
        <v>0.85456570562565048</v>
      </c>
      <c r="N109" s="2">
        <v>46148</v>
      </c>
      <c r="O109" s="2">
        <v>46153</v>
      </c>
      <c r="P109" s="2">
        <v>46156</v>
      </c>
      <c r="Q109" s="10">
        <v>46163</v>
      </c>
      <c r="R109" s="10">
        <v>46161</v>
      </c>
      <c r="S109" s="1" t="s">
        <v>48</v>
      </c>
      <c r="T109" s="1" t="s">
        <v>133</v>
      </c>
      <c r="U109" s="1">
        <v>12</v>
      </c>
      <c r="V109" s="1" t="s">
        <v>61</v>
      </c>
      <c r="W109" s="1" t="s">
        <v>35</v>
      </c>
      <c r="X109" s="1" t="s">
        <v>52</v>
      </c>
      <c r="Y109" s="1" t="s">
        <v>37</v>
      </c>
      <c r="Z109" s="9">
        <v>1095.3399999999999</v>
      </c>
      <c r="AA109" s="9">
        <v>0</v>
      </c>
      <c r="AB109" s="9">
        <v>79.069999999999993</v>
      </c>
      <c r="AC109" s="9">
        <v>79.069999999999993</v>
      </c>
      <c r="AD109" s="9">
        <v>0</v>
      </c>
      <c r="AE109" s="9">
        <v>159.30000000000001</v>
      </c>
      <c r="AF109" s="9">
        <v>936.04</v>
      </c>
      <c r="AG109" s="9">
        <v>159.30000000000001</v>
      </c>
      <c r="AH109" s="9">
        <v>936.04</v>
      </c>
      <c r="AI109" s="9">
        <v>0</v>
      </c>
      <c r="AJ109" s="11">
        <v>1</v>
      </c>
    </row>
    <row r="110" spans="1:36" hidden="1" x14ac:dyDescent="0.3">
      <c r="A110" s="1" t="s">
        <v>59</v>
      </c>
      <c r="B110" s="1">
        <v>217961</v>
      </c>
      <c r="C110" s="1">
        <v>114185</v>
      </c>
      <c r="D110" s="1" t="s">
        <v>60</v>
      </c>
      <c r="E110" s="7" t="s">
        <v>34</v>
      </c>
      <c r="F110" s="7" t="s">
        <v>76</v>
      </c>
      <c r="G110" s="8">
        <f>SUM(Tabela1[[#This Row],[Total em Romaneio]],Tabela1[[#This Row],[Saldo Despacho]])/Tabela1[[#This Row],[Total do Pedido]]</f>
        <v>8.7413303618613755E-2</v>
      </c>
      <c r="H110" s="42">
        <f>SUM(Tabela1[[#This Row],[Total em Romaneio]],Tabela1[[#This Row],[Saldo Despacho]])</f>
        <v>5974.5</v>
      </c>
      <c r="I110" s="9">
        <v>68347.72</v>
      </c>
      <c r="J110" s="10">
        <v>46167</v>
      </c>
      <c r="K110" s="2"/>
      <c r="L110" s="8">
        <f>Tabela1[[#This Row],[Saldo Pedido]]/Tabela1[[#This Row],[Total do Pedido]]</f>
        <v>0.10720767276509004</v>
      </c>
      <c r="M110" s="8">
        <f>Tabela1[[#This Row],[Total Despachado]]/Tabela1[[#This Row],[Total do Pedido]]</f>
        <v>0.80537902361629621</v>
      </c>
      <c r="N110" s="2">
        <v>46155</v>
      </c>
      <c r="O110" s="2">
        <v>46157</v>
      </c>
      <c r="P110" s="2"/>
      <c r="Q110" s="10">
        <v>46169</v>
      </c>
      <c r="S110" s="1" t="s">
        <v>31</v>
      </c>
      <c r="T110" s="1" t="s">
        <v>38</v>
      </c>
      <c r="U110" s="1">
        <v>12</v>
      </c>
      <c r="V110" s="1" t="s">
        <v>33</v>
      </c>
      <c r="W110" s="1" t="s">
        <v>35</v>
      </c>
      <c r="X110" s="1" t="s">
        <v>52</v>
      </c>
      <c r="Y110" s="1" t="s">
        <v>43</v>
      </c>
      <c r="Z110" s="9">
        <v>61020.32</v>
      </c>
      <c r="AA110" s="9">
        <v>7327.4</v>
      </c>
      <c r="AB110" s="9">
        <v>6320.36</v>
      </c>
      <c r="AC110" s="9">
        <v>5087.82</v>
      </c>
      <c r="AD110" s="9">
        <v>1232.54</v>
      </c>
      <c r="AE110" s="9">
        <v>0</v>
      </c>
      <c r="AF110" s="9">
        <v>61020.32</v>
      </c>
      <c r="AG110" s="9">
        <v>7327.4</v>
      </c>
      <c r="AH110" s="9">
        <v>55045.82</v>
      </c>
      <c r="AI110" s="9">
        <v>5974.5</v>
      </c>
      <c r="AJ110" s="11">
        <v>1</v>
      </c>
    </row>
    <row r="111" spans="1:36" hidden="1" x14ac:dyDescent="0.3">
      <c r="A111" s="1" t="s">
        <v>53</v>
      </c>
      <c r="B111" s="1">
        <v>218342</v>
      </c>
      <c r="C111" s="1"/>
      <c r="D111" s="1" t="s">
        <v>54</v>
      </c>
      <c r="E111" s="7" t="s">
        <v>155</v>
      </c>
      <c r="F111" s="7" t="s">
        <v>120</v>
      </c>
      <c r="G111" s="8">
        <f>SUM(Tabela1[[#This Row],[Total em Romaneio]],Tabela1[[#This Row],[Saldo Despacho]])/Tabela1[[#This Row],[Total do Pedido]]</f>
        <v>7.3922115266600044E-2</v>
      </c>
      <c r="H111" s="42">
        <f>SUM(Tabela1[[#This Row],[Total em Romaneio]],Tabela1[[#This Row],[Saldo Despacho]])</f>
        <v>1054</v>
      </c>
      <c r="I111" s="9">
        <v>14258.25</v>
      </c>
      <c r="J111" s="10">
        <v>46192</v>
      </c>
      <c r="K111" s="2"/>
      <c r="L111" s="8">
        <f>Tabela1[[#This Row],[Saldo Pedido]]/Tabela1[[#This Row],[Total do Pedido]]</f>
        <v>0.53744323461855414</v>
      </c>
      <c r="M111" s="8">
        <f>Tabela1[[#This Row],[Total Despachado]]/Tabela1[[#This Row],[Total do Pedido]]</f>
        <v>0</v>
      </c>
      <c r="N111" s="2">
        <v>46170</v>
      </c>
      <c r="O111" s="2">
        <v>46170</v>
      </c>
      <c r="P111" s="2"/>
      <c r="Q111" s="10">
        <v>46171</v>
      </c>
      <c r="S111" s="1" t="s">
        <v>31</v>
      </c>
      <c r="T111" s="1" t="s">
        <v>38</v>
      </c>
      <c r="U111" s="1">
        <v>12</v>
      </c>
      <c r="V111" s="1" t="s">
        <v>49</v>
      </c>
      <c r="W111" s="1" t="s">
        <v>35</v>
      </c>
      <c r="X111" s="1" t="s">
        <v>52</v>
      </c>
      <c r="Y111" s="1" t="s">
        <v>43</v>
      </c>
      <c r="Z111" s="9">
        <v>6595.25</v>
      </c>
      <c r="AA111" s="9">
        <v>7663</v>
      </c>
      <c r="AB111" s="9">
        <v>9361</v>
      </c>
      <c r="AC111" s="9">
        <v>5799</v>
      </c>
      <c r="AD111" s="9">
        <v>3562</v>
      </c>
      <c r="AE111" s="9">
        <v>1054</v>
      </c>
      <c r="AF111" s="9">
        <v>0</v>
      </c>
      <c r="AG111" s="9">
        <v>14258.25</v>
      </c>
      <c r="AH111" s="9">
        <v>0</v>
      </c>
      <c r="AI111" s="9">
        <v>0</v>
      </c>
      <c r="AJ111" s="11">
        <v>1</v>
      </c>
    </row>
    <row r="112" spans="1:36" x14ac:dyDescent="0.3">
      <c r="A112" s="1" t="s">
        <v>64</v>
      </c>
      <c r="B112" s="1">
        <v>218141</v>
      </c>
      <c r="C112" s="1"/>
      <c r="D112" s="1" t="s">
        <v>65</v>
      </c>
      <c r="E112" s="7" t="s">
        <v>57</v>
      </c>
      <c r="F112" s="7" t="s">
        <v>76</v>
      </c>
      <c r="G112" s="8">
        <f>SUM(Tabela1[[#This Row],[Total em Romaneio]],Tabela1[[#This Row],[Saldo Despacho]])/Tabela1[[#This Row],[Total do Pedido]]</f>
        <v>7.1154225628622766E-2</v>
      </c>
      <c r="H112" s="42">
        <f>SUM(Tabela1[[#This Row],[Total em Romaneio]],Tabela1[[#This Row],[Saldo Despacho]])</f>
        <v>1770.5</v>
      </c>
      <c r="I112" s="9">
        <v>24882.57</v>
      </c>
      <c r="J112" s="10">
        <v>46170</v>
      </c>
      <c r="K112" s="2"/>
      <c r="L112" s="8">
        <f>Tabela1[[#This Row],[Saldo Pedido]]/Tabela1[[#This Row],[Total do Pedido]]</f>
        <v>0</v>
      </c>
      <c r="M112" s="8">
        <f>Tabela1[[#This Row],[Total Despachado]]/Tabela1[[#This Row],[Total do Pedido]]</f>
        <v>0.92884577437137728</v>
      </c>
      <c r="N112" s="2">
        <v>46162</v>
      </c>
      <c r="O112" s="2">
        <v>46163</v>
      </c>
      <c r="P112" s="2"/>
      <c r="Q112" s="10">
        <v>46167</v>
      </c>
      <c r="S112" s="1" t="s">
        <v>66</v>
      </c>
      <c r="T112" s="1" t="s">
        <v>32</v>
      </c>
      <c r="U112" s="1">
        <v>12</v>
      </c>
      <c r="V112" s="1" t="s">
        <v>39</v>
      </c>
      <c r="W112" s="1" t="s">
        <v>35</v>
      </c>
      <c r="X112" s="1" t="s">
        <v>52</v>
      </c>
      <c r="Y112" s="1" t="s">
        <v>43</v>
      </c>
      <c r="Z112" s="9">
        <v>24882.560000000001</v>
      </c>
      <c r="AA112" s="9">
        <v>0</v>
      </c>
      <c r="AB112" s="9">
        <v>3383.93</v>
      </c>
      <c r="AC112" s="9">
        <v>2861.45</v>
      </c>
      <c r="AD112" s="9">
        <v>522.48</v>
      </c>
      <c r="AE112" s="9">
        <v>0</v>
      </c>
      <c r="AF112" s="9">
        <v>24882.57</v>
      </c>
      <c r="AG112" s="9">
        <v>0</v>
      </c>
      <c r="AH112" s="9">
        <v>23112.07</v>
      </c>
      <c r="AI112" s="9">
        <v>1770.5</v>
      </c>
      <c r="AJ112" s="11">
        <v>1</v>
      </c>
    </row>
    <row r="113" spans="1:36" hidden="1" x14ac:dyDescent="0.3">
      <c r="A113" s="1" t="s">
        <v>117</v>
      </c>
      <c r="B113" s="1">
        <v>217223</v>
      </c>
      <c r="C113" s="1"/>
      <c r="D113" s="1" t="s">
        <v>56</v>
      </c>
      <c r="E113" s="7" t="s">
        <v>86</v>
      </c>
      <c r="F113" s="7" t="s">
        <v>87</v>
      </c>
      <c r="G113" s="8">
        <f>SUM(Tabela1[[#This Row],[Total em Romaneio]],Tabela1[[#This Row],[Saldo Despacho]])/Tabela1[[#This Row],[Total do Pedido]]</f>
        <v>6.1025943396226412E-2</v>
      </c>
      <c r="H113" s="42">
        <f>SUM(Tabela1[[#This Row],[Total em Romaneio]],Tabela1[[#This Row],[Saldo Despacho]])</f>
        <v>828</v>
      </c>
      <c r="I113" s="9">
        <v>13568</v>
      </c>
      <c r="J113" s="10">
        <v>46132</v>
      </c>
      <c r="K113" s="2"/>
      <c r="L113" s="8">
        <f>Tabela1[[#This Row],[Saldo Pedido]]/Tabela1[[#This Row],[Total do Pedido]]</f>
        <v>0</v>
      </c>
      <c r="M113" s="8">
        <f>Tabela1[[#This Row],[Total Despachado]]/Tabela1[[#This Row],[Total do Pedido]]</f>
        <v>0.93897405660377353</v>
      </c>
      <c r="N113" s="2">
        <v>46128</v>
      </c>
      <c r="O113" s="2">
        <v>46128</v>
      </c>
      <c r="P113" s="2"/>
      <c r="Q113" s="10">
        <v>46169</v>
      </c>
      <c r="S113" s="1" t="s">
        <v>44</v>
      </c>
      <c r="T113" s="1" t="s">
        <v>32</v>
      </c>
      <c r="U113" s="1">
        <v>236</v>
      </c>
      <c r="V113" s="1" t="s">
        <v>85</v>
      </c>
      <c r="W113" s="1" t="s">
        <v>35</v>
      </c>
      <c r="X113" s="1" t="s">
        <v>51</v>
      </c>
      <c r="Y113" s="1" t="s">
        <v>37</v>
      </c>
      <c r="Z113" s="9">
        <v>13568</v>
      </c>
      <c r="AA113" s="9">
        <v>0</v>
      </c>
      <c r="AB113" s="9">
        <v>12714</v>
      </c>
      <c r="AC113" s="9">
        <v>12714</v>
      </c>
      <c r="AD113" s="9">
        <v>0</v>
      </c>
      <c r="AE113" s="9">
        <v>0</v>
      </c>
      <c r="AF113" s="9">
        <v>13568</v>
      </c>
      <c r="AG113" s="9">
        <v>0</v>
      </c>
      <c r="AH113" s="9">
        <v>12740</v>
      </c>
      <c r="AI113" s="9">
        <v>828</v>
      </c>
      <c r="AJ113" s="11">
        <v>1</v>
      </c>
    </row>
    <row r="114" spans="1:36" hidden="1" x14ac:dyDescent="0.3">
      <c r="A114" s="1" t="s">
        <v>53</v>
      </c>
      <c r="B114" s="1">
        <v>215310</v>
      </c>
      <c r="C114" s="1">
        <v>113037</v>
      </c>
      <c r="D114" s="1" t="s">
        <v>54</v>
      </c>
      <c r="E114" s="7" t="s">
        <v>34</v>
      </c>
      <c r="F114" s="7" t="s">
        <v>41</v>
      </c>
      <c r="G114" s="8">
        <f>SUM(Tabela1[[#This Row],[Total em Romaneio]],Tabela1[[#This Row],[Saldo Despacho]])/Tabela1[[#This Row],[Total do Pedido]]</f>
        <v>5.3834952894870836E-2</v>
      </c>
      <c r="H114" s="42">
        <f>SUM(Tabela1[[#This Row],[Total em Romaneio]],Tabela1[[#This Row],[Saldo Despacho]])</f>
        <v>23979.66</v>
      </c>
      <c r="I114" s="9">
        <v>445429.2</v>
      </c>
      <c r="J114" s="10">
        <v>46135</v>
      </c>
      <c r="K114" s="2"/>
      <c r="L114" s="8">
        <f>Tabela1[[#This Row],[Saldo Pedido]]/Tabela1[[#This Row],[Total do Pedido]]</f>
        <v>0</v>
      </c>
      <c r="M114" s="8">
        <f>Tabela1[[#This Row],[Total Despachado]]/Tabela1[[#This Row],[Total do Pedido]]</f>
        <v>0.94227082553186903</v>
      </c>
      <c r="N114" s="2">
        <v>46072</v>
      </c>
      <c r="O114" s="2">
        <v>46078</v>
      </c>
      <c r="P114" s="2">
        <v>46087</v>
      </c>
      <c r="Q114" s="10">
        <v>46132</v>
      </c>
      <c r="R114" s="10">
        <v>46132</v>
      </c>
      <c r="S114" s="1" t="s">
        <v>31</v>
      </c>
      <c r="T114" s="1" t="s">
        <v>38</v>
      </c>
      <c r="U114" s="1">
        <v>12</v>
      </c>
      <c r="V114" s="1" t="s">
        <v>33</v>
      </c>
      <c r="X114" s="1" t="s">
        <v>52</v>
      </c>
      <c r="Y114" s="1" t="s">
        <v>37</v>
      </c>
      <c r="Z114" s="9">
        <v>445429.2</v>
      </c>
      <c r="AA114" s="9">
        <v>0</v>
      </c>
      <c r="AB114" s="9">
        <v>196486.15</v>
      </c>
      <c r="AC114" s="9">
        <v>196486.15</v>
      </c>
      <c r="AD114" s="9">
        <v>0</v>
      </c>
      <c r="AE114" s="9">
        <v>0</v>
      </c>
      <c r="AF114" s="9">
        <v>445429.2</v>
      </c>
      <c r="AG114" s="9">
        <v>0</v>
      </c>
      <c r="AH114" s="9">
        <v>419714.94</v>
      </c>
      <c r="AI114" s="9">
        <v>23979.66</v>
      </c>
      <c r="AJ114" s="11">
        <v>1</v>
      </c>
    </row>
    <row r="115" spans="1:36" hidden="1" x14ac:dyDescent="0.3">
      <c r="A115" s="1" t="s">
        <v>128</v>
      </c>
      <c r="B115" s="1">
        <v>217983</v>
      </c>
      <c r="C115" s="1">
        <v>114197</v>
      </c>
      <c r="D115" s="1" t="s">
        <v>129</v>
      </c>
      <c r="E115" s="7" t="s">
        <v>79</v>
      </c>
      <c r="F115" s="7" t="s">
        <v>95</v>
      </c>
      <c r="G115" s="8">
        <f>SUM(Tabela1[[#This Row],[Total em Romaneio]],Tabela1[[#This Row],[Saldo Despacho]])/Tabela1[[#This Row],[Total do Pedido]]</f>
        <v>4.6866514608450094E-2</v>
      </c>
      <c r="H115" s="42">
        <f>SUM(Tabela1[[#This Row],[Total em Romaneio]],Tabela1[[#This Row],[Saldo Despacho]])</f>
        <v>863</v>
      </c>
      <c r="I115" s="9">
        <v>18414</v>
      </c>
      <c r="J115" s="10">
        <v>46157</v>
      </c>
      <c r="K115" s="2"/>
      <c r="L115" s="8">
        <f>Tabela1[[#This Row],[Saldo Pedido]]/Tabela1[[#This Row],[Total do Pedido]]</f>
        <v>0</v>
      </c>
      <c r="M115" s="8">
        <f>Tabela1[[#This Row],[Total Despachado]]/Tabela1[[#This Row],[Total do Pedido]]</f>
        <v>0.95313348539154996</v>
      </c>
      <c r="N115" s="2">
        <v>46156</v>
      </c>
      <c r="O115" s="2">
        <v>46156</v>
      </c>
      <c r="P115" s="2">
        <v>46157</v>
      </c>
      <c r="R115" s="10">
        <v>46183</v>
      </c>
      <c r="S115" s="1" t="s">
        <v>66</v>
      </c>
      <c r="T115" s="1" t="s">
        <v>32</v>
      </c>
      <c r="U115" s="1">
        <v>12</v>
      </c>
      <c r="V115" s="1" t="s">
        <v>33</v>
      </c>
      <c r="W115" s="1" t="s">
        <v>35</v>
      </c>
      <c r="X115" s="1" t="s">
        <v>58</v>
      </c>
      <c r="Y115" s="1" t="s">
        <v>37</v>
      </c>
      <c r="Z115" s="9">
        <v>18414</v>
      </c>
      <c r="AA115" s="9">
        <v>0</v>
      </c>
      <c r="AB115" s="9">
        <v>1290</v>
      </c>
      <c r="AC115" s="9">
        <v>1290</v>
      </c>
      <c r="AD115" s="9">
        <v>0</v>
      </c>
      <c r="AE115" s="9">
        <v>863</v>
      </c>
      <c r="AF115" s="9">
        <v>17551</v>
      </c>
      <c r="AG115" s="9">
        <v>863</v>
      </c>
      <c r="AH115" s="9">
        <v>17551</v>
      </c>
      <c r="AI115" s="9">
        <v>0</v>
      </c>
      <c r="AJ115" s="11">
        <v>1</v>
      </c>
    </row>
    <row r="116" spans="1:36" hidden="1" x14ac:dyDescent="0.3">
      <c r="A116" s="1" t="s">
        <v>68</v>
      </c>
      <c r="B116" s="1">
        <v>216906</v>
      </c>
      <c r="C116" s="1"/>
      <c r="D116" s="1" t="s">
        <v>69</v>
      </c>
      <c r="E116" s="7" t="s">
        <v>88</v>
      </c>
      <c r="F116" s="7" t="s">
        <v>41</v>
      </c>
      <c r="G116" s="8">
        <f>SUM(Tabela1[[#This Row],[Total em Romaneio]],Tabela1[[#This Row],[Saldo Despacho]])/Tabela1[[#This Row],[Total do Pedido]]</f>
        <v>4.3673310228461271E-2</v>
      </c>
      <c r="H116" s="42">
        <f>SUM(Tabela1[[#This Row],[Total em Romaneio]],Tabela1[[#This Row],[Saldo Despacho]])</f>
        <v>93475.199999999997</v>
      </c>
      <c r="I116" s="9">
        <v>2140327.7999999998</v>
      </c>
      <c r="J116" s="10">
        <v>46127</v>
      </c>
      <c r="K116" s="2"/>
      <c r="L116" s="8">
        <f>Tabela1[[#This Row],[Saldo Pedido]]/Tabela1[[#This Row],[Total do Pedido]]</f>
        <v>0.57072386295220756</v>
      </c>
      <c r="M116" s="8">
        <f>Tabela1[[#This Row],[Total Despachado]]/Tabela1[[#This Row],[Total do Pedido]]</f>
        <v>0.38560282681933117</v>
      </c>
      <c r="N116" s="2">
        <v>46120</v>
      </c>
      <c r="O116" s="2">
        <v>46121</v>
      </c>
      <c r="P116" s="2"/>
      <c r="Q116" s="10">
        <v>46167</v>
      </c>
      <c r="S116" s="1" t="s">
        <v>48</v>
      </c>
      <c r="T116" s="1" t="s">
        <v>32</v>
      </c>
      <c r="U116" s="1">
        <v>12</v>
      </c>
      <c r="V116" s="1" t="s">
        <v>49</v>
      </c>
      <c r="W116" s="1" t="s">
        <v>35</v>
      </c>
      <c r="X116" s="1" t="s">
        <v>52</v>
      </c>
      <c r="Y116" s="1" t="s">
        <v>43</v>
      </c>
      <c r="Z116" s="9">
        <v>918791.65</v>
      </c>
      <c r="AA116" s="9">
        <v>1221536.1499999999</v>
      </c>
      <c r="AB116" s="9">
        <v>828377.76</v>
      </c>
      <c r="AC116" s="9">
        <v>828377.76</v>
      </c>
      <c r="AD116" s="9">
        <v>0</v>
      </c>
      <c r="AE116" s="9">
        <v>93475.199999999997</v>
      </c>
      <c r="AF116" s="9">
        <v>825316.45</v>
      </c>
      <c r="AG116" s="9">
        <v>1315011.3500000001</v>
      </c>
      <c r="AH116" s="9">
        <v>825316.45</v>
      </c>
      <c r="AI116" s="9">
        <v>0</v>
      </c>
      <c r="AJ116" s="11">
        <v>1</v>
      </c>
    </row>
    <row r="117" spans="1:36" hidden="1" x14ac:dyDescent="0.3">
      <c r="A117" s="1" t="s">
        <v>53</v>
      </c>
      <c r="B117" s="1">
        <v>215307</v>
      </c>
      <c r="C117" s="1">
        <v>113038</v>
      </c>
      <c r="D117" s="1" t="s">
        <v>54</v>
      </c>
      <c r="E117" s="7" t="s">
        <v>34</v>
      </c>
      <c r="F117" s="7" t="s">
        <v>41</v>
      </c>
      <c r="G117" s="8">
        <f>SUM(Tabela1[[#This Row],[Total em Romaneio]],Tabela1[[#This Row],[Saldo Despacho]])/Tabela1[[#This Row],[Total do Pedido]]</f>
        <v>3.7119237072919579E-2</v>
      </c>
      <c r="H117" s="42">
        <f>SUM(Tabela1[[#This Row],[Total em Romaneio]],Tabela1[[#This Row],[Saldo Despacho]])</f>
        <v>8818.7000000000007</v>
      </c>
      <c r="I117" s="9">
        <v>237577.62</v>
      </c>
      <c r="J117" s="10">
        <v>46126</v>
      </c>
      <c r="K117" s="2"/>
      <c r="L117" s="8">
        <f>Tabela1[[#This Row],[Saldo Pedido]]/Tabela1[[#This Row],[Total do Pedido]]</f>
        <v>0</v>
      </c>
      <c r="M117" s="8">
        <f>Tabela1[[#This Row],[Total Despachado]]/Tabela1[[#This Row],[Total do Pedido]]</f>
        <v>0.95837107889202688</v>
      </c>
      <c r="N117" s="2">
        <v>46072</v>
      </c>
      <c r="O117" s="2">
        <v>46078</v>
      </c>
      <c r="P117" s="2">
        <v>46087</v>
      </c>
      <c r="Q117" s="10">
        <v>46122</v>
      </c>
      <c r="R117" s="10">
        <v>46122</v>
      </c>
      <c r="S117" s="1" t="s">
        <v>31</v>
      </c>
      <c r="T117" s="1" t="s">
        <v>38</v>
      </c>
      <c r="U117" s="1">
        <v>12</v>
      </c>
      <c r="V117" s="1" t="s">
        <v>33</v>
      </c>
      <c r="X117" s="1" t="s">
        <v>52</v>
      </c>
      <c r="Y117" s="1" t="s">
        <v>37</v>
      </c>
      <c r="Z117" s="9">
        <v>237577.62</v>
      </c>
      <c r="AA117" s="9">
        <v>0</v>
      </c>
      <c r="AB117" s="9">
        <v>89428.09</v>
      </c>
      <c r="AC117" s="9">
        <v>89428.09</v>
      </c>
      <c r="AD117" s="9">
        <v>0</v>
      </c>
      <c r="AE117" s="9">
        <v>0</v>
      </c>
      <c r="AF117" s="9">
        <v>237577.62</v>
      </c>
      <c r="AG117" s="9">
        <v>0</v>
      </c>
      <c r="AH117" s="9">
        <v>227687.52</v>
      </c>
      <c r="AI117" s="9">
        <v>8818.7000000000007</v>
      </c>
      <c r="AJ117" s="11">
        <v>1</v>
      </c>
    </row>
    <row r="118" spans="1:36" hidden="1" x14ac:dyDescent="0.3">
      <c r="A118" s="1" t="s">
        <v>74</v>
      </c>
      <c r="B118" s="1">
        <v>218208</v>
      </c>
      <c r="C118" s="1"/>
      <c r="D118" s="1" t="s">
        <v>75</v>
      </c>
      <c r="E118" s="7" t="s">
        <v>34</v>
      </c>
      <c r="F118" s="7" t="s">
        <v>41</v>
      </c>
      <c r="G118" s="8">
        <f>SUM(Tabela1[[#This Row],[Total em Romaneio]],Tabela1[[#This Row],[Saldo Despacho]])/Tabela1[[#This Row],[Total do Pedido]]</f>
        <v>3.1621960633343972E-2</v>
      </c>
      <c r="H118" s="42">
        <f>SUM(Tabela1[[#This Row],[Total em Romaneio]],Tabela1[[#This Row],[Saldo Despacho]])</f>
        <v>3180.49</v>
      </c>
      <c r="I118" s="9">
        <v>100578.52</v>
      </c>
      <c r="J118" s="10">
        <v>46174</v>
      </c>
      <c r="K118" s="2"/>
      <c r="L118" s="8">
        <f>Tabela1[[#This Row],[Saldo Pedido]]/Tabela1[[#This Row],[Total do Pedido]]</f>
        <v>0.14060507154012605</v>
      </c>
      <c r="M118" s="8">
        <f>Tabela1[[#This Row],[Total Despachado]]/Tabela1[[#This Row],[Total do Pedido]]</f>
        <v>0.82777296782652987</v>
      </c>
      <c r="N118" s="2">
        <v>46164</v>
      </c>
      <c r="O118" s="2">
        <v>46164</v>
      </c>
      <c r="P118" s="2"/>
      <c r="Q118" s="10">
        <v>46169</v>
      </c>
      <c r="S118" s="1" t="s">
        <v>31</v>
      </c>
      <c r="T118" s="1" t="s">
        <v>38</v>
      </c>
      <c r="U118" s="1">
        <v>12</v>
      </c>
      <c r="V118" s="1" t="s">
        <v>39</v>
      </c>
      <c r="W118" s="1" t="s">
        <v>35</v>
      </c>
      <c r="X118" s="1" t="s">
        <v>52</v>
      </c>
      <c r="Y118" s="1" t="s">
        <v>43</v>
      </c>
      <c r="Z118" s="9">
        <v>86436.67</v>
      </c>
      <c r="AA118" s="9">
        <v>14141.85</v>
      </c>
      <c r="AB118" s="9">
        <v>13312.61</v>
      </c>
      <c r="AC118" s="9">
        <v>6376.11</v>
      </c>
      <c r="AD118" s="9">
        <v>6936.5</v>
      </c>
      <c r="AE118" s="9">
        <v>0</v>
      </c>
      <c r="AF118" s="9">
        <v>86436.67</v>
      </c>
      <c r="AG118" s="9">
        <v>14141.85</v>
      </c>
      <c r="AH118" s="9">
        <v>83256.179999999993</v>
      </c>
      <c r="AI118" s="9">
        <v>3180.49</v>
      </c>
      <c r="AJ118" s="11">
        <v>1</v>
      </c>
    </row>
    <row r="119" spans="1:36" hidden="1" x14ac:dyDescent="0.3">
      <c r="A119" s="1" t="s">
        <v>116</v>
      </c>
      <c r="B119" s="1">
        <v>216589</v>
      </c>
      <c r="C119" s="1">
        <v>113573</v>
      </c>
      <c r="D119" s="1" t="s">
        <v>113</v>
      </c>
      <c r="E119" s="7" t="s">
        <v>78</v>
      </c>
      <c r="F119" s="7" t="s">
        <v>41</v>
      </c>
      <c r="G119" s="8">
        <f>SUM(Tabela1[[#This Row],[Total em Romaneio]],Tabela1[[#This Row],[Saldo Despacho]])/Tabela1[[#This Row],[Total do Pedido]]</f>
        <v>2.6567661913241784E-2</v>
      </c>
      <c r="H119" s="42">
        <f>SUM(Tabela1[[#This Row],[Total em Romaneio]],Tabela1[[#This Row],[Saldo Despacho]])</f>
        <v>70775</v>
      </c>
      <c r="I119" s="9">
        <v>2663952.9</v>
      </c>
      <c r="J119" s="10">
        <v>46165</v>
      </c>
      <c r="K119" s="2"/>
      <c r="L119" s="8">
        <f>Tabela1[[#This Row],[Saldo Pedido]]/Tabela1[[#This Row],[Total do Pedido]]</f>
        <v>0.11212150184787427</v>
      </c>
      <c r="M119" s="8">
        <f>Tabela1[[#This Row],[Total Despachado]]/Tabela1[[#This Row],[Total do Pedido]]</f>
        <v>0.83739994051696642</v>
      </c>
      <c r="N119" s="2">
        <v>46113</v>
      </c>
      <c r="O119" s="2">
        <v>46119</v>
      </c>
      <c r="P119" s="2">
        <v>46125</v>
      </c>
      <c r="Q119" s="10">
        <v>46170</v>
      </c>
      <c r="R119" s="10">
        <v>46178</v>
      </c>
      <c r="S119" s="1" t="s">
        <v>48</v>
      </c>
      <c r="T119" s="1" t="s">
        <v>32</v>
      </c>
      <c r="U119" s="1">
        <v>12</v>
      </c>
      <c r="V119" s="1" t="s">
        <v>33</v>
      </c>
      <c r="W119" s="1" t="s">
        <v>35</v>
      </c>
      <c r="X119" s="1" t="s">
        <v>52</v>
      </c>
      <c r="Y119" s="1" t="s">
        <v>43</v>
      </c>
      <c r="Z119" s="9">
        <v>2365266.5</v>
      </c>
      <c r="AA119" s="9">
        <v>298686.40000000002</v>
      </c>
      <c r="AB119" s="9">
        <v>676142.4</v>
      </c>
      <c r="AC119" s="9">
        <v>580462.4</v>
      </c>
      <c r="AD119" s="9">
        <v>95680</v>
      </c>
      <c r="AE119" s="9">
        <v>70775</v>
      </c>
      <c r="AF119" s="9">
        <v>2230794</v>
      </c>
      <c r="AG119" s="9">
        <v>433158.9</v>
      </c>
      <c r="AH119" s="9">
        <v>2230794</v>
      </c>
      <c r="AI119" s="9">
        <v>0</v>
      </c>
      <c r="AJ119" s="11">
        <v>1</v>
      </c>
    </row>
    <row r="120" spans="1:36" hidden="1" x14ac:dyDescent="0.3">
      <c r="A120" s="1" t="s">
        <v>138</v>
      </c>
      <c r="B120" s="1">
        <v>217688</v>
      </c>
      <c r="C120" s="1">
        <v>114067</v>
      </c>
      <c r="D120" s="1" t="s">
        <v>139</v>
      </c>
      <c r="E120" s="7" t="s">
        <v>34</v>
      </c>
      <c r="F120" s="7" t="s">
        <v>76</v>
      </c>
      <c r="G120" s="8">
        <f>SUM(Tabela1[[#This Row],[Total em Romaneio]],Tabela1[[#This Row],[Saldo Despacho]])/Tabela1[[#This Row],[Total do Pedido]]</f>
        <v>1.3680490677931678E-2</v>
      </c>
      <c r="H120" s="42">
        <f>SUM(Tabela1[[#This Row],[Total em Romaneio]],Tabela1[[#This Row],[Saldo Despacho]])</f>
        <v>16.84</v>
      </c>
      <c r="I120" s="9">
        <v>1230.95</v>
      </c>
      <c r="J120" s="10">
        <v>46156</v>
      </c>
      <c r="K120" s="2"/>
      <c r="L120" s="8">
        <f>Tabela1[[#This Row],[Saldo Pedido]]/Tabela1[[#This Row],[Total do Pedido]]</f>
        <v>0</v>
      </c>
      <c r="M120" s="8">
        <f>Tabela1[[#This Row],[Total Despachado]]/Tabela1[[#This Row],[Total do Pedido]]</f>
        <v>0.98631950932206824</v>
      </c>
      <c r="N120" s="2">
        <v>46148</v>
      </c>
      <c r="O120" s="2">
        <v>46153</v>
      </c>
      <c r="P120" s="2"/>
      <c r="S120" s="1" t="s">
        <v>48</v>
      </c>
      <c r="T120" s="1" t="s">
        <v>133</v>
      </c>
      <c r="U120" s="1">
        <v>12</v>
      </c>
      <c r="V120" s="1" t="s">
        <v>61</v>
      </c>
      <c r="W120" s="1" t="s">
        <v>35</v>
      </c>
      <c r="X120" s="1" t="s">
        <v>36</v>
      </c>
      <c r="Y120" s="1" t="s">
        <v>37</v>
      </c>
      <c r="Z120" s="9">
        <v>1230.95</v>
      </c>
      <c r="AA120" s="9">
        <v>0</v>
      </c>
      <c r="AB120" s="9">
        <v>3.6</v>
      </c>
      <c r="AC120" s="9">
        <v>0</v>
      </c>
      <c r="AD120" s="9">
        <v>3.6</v>
      </c>
      <c r="AE120" s="9">
        <v>16.84</v>
      </c>
      <c r="AF120" s="9">
        <v>1214.1099999999999</v>
      </c>
      <c r="AG120" s="9">
        <v>16.84</v>
      </c>
      <c r="AH120" s="9">
        <v>1214.1099999999999</v>
      </c>
      <c r="AI120" s="9">
        <v>0</v>
      </c>
      <c r="AJ120" s="11">
        <v>1</v>
      </c>
    </row>
    <row r="121" spans="1:36" hidden="1" x14ac:dyDescent="0.3">
      <c r="A121" s="1" t="s">
        <v>92</v>
      </c>
      <c r="B121" s="1">
        <v>217889</v>
      </c>
      <c r="C121" s="1"/>
      <c r="D121" s="1" t="s">
        <v>93</v>
      </c>
      <c r="E121" s="7" t="s">
        <v>63</v>
      </c>
      <c r="F121" s="7" t="s">
        <v>41</v>
      </c>
      <c r="G121" s="8">
        <f>SUM(Tabela1[[#This Row],[Total em Romaneio]],Tabela1[[#This Row],[Saldo Despacho]])/Tabela1[[#This Row],[Total do Pedido]]</f>
        <v>1.3658859938783938E-2</v>
      </c>
      <c r="H121" s="42">
        <f>SUM(Tabela1[[#This Row],[Total em Romaneio]],Tabela1[[#This Row],[Saldo Despacho]])</f>
        <v>8004</v>
      </c>
      <c r="I121" s="9">
        <v>585993.27</v>
      </c>
      <c r="J121" s="10">
        <v>46195</v>
      </c>
      <c r="K121" s="2"/>
      <c r="L121" s="8">
        <f>Tabela1[[#This Row],[Saldo Pedido]]/Tabela1[[#This Row],[Total do Pedido]]</f>
        <v>0.58616999133795511</v>
      </c>
      <c r="M121" s="8">
        <f>Tabela1[[#This Row],[Total Despachado]]/Tabela1[[#This Row],[Total do Pedido]]</f>
        <v>0.39835372170741823</v>
      </c>
      <c r="N121" s="2">
        <v>46154</v>
      </c>
      <c r="O121" s="2">
        <v>46154</v>
      </c>
      <c r="P121" s="2"/>
      <c r="Q121" s="10">
        <v>46167</v>
      </c>
      <c r="S121" s="1" t="s">
        <v>31</v>
      </c>
      <c r="T121" s="1" t="s">
        <v>133</v>
      </c>
      <c r="U121" s="1">
        <v>12</v>
      </c>
      <c r="V121" s="1" t="s">
        <v>49</v>
      </c>
      <c r="W121" s="1" t="s">
        <v>35</v>
      </c>
      <c r="X121" s="1" t="s">
        <v>52</v>
      </c>
      <c r="Y121" s="1" t="s">
        <v>43</v>
      </c>
      <c r="Z121" s="9">
        <v>242501.6</v>
      </c>
      <c r="AA121" s="9">
        <v>343491.67</v>
      </c>
      <c r="AB121" s="9">
        <v>267952.53999999998</v>
      </c>
      <c r="AC121" s="9">
        <v>267742.53999999998</v>
      </c>
      <c r="AD121" s="9">
        <v>210</v>
      </c>
      <c r="AE121" s="9">
        <v>8004</v>
      </c>
      <c r="AF121" s="9">
        <v>233432.6</v>
      </c>
      <c r="AG121" s="9">
        <v>352560.67</v>
      </c>
      <c r="AH121" s="9">
        <v>233432.6</v>
      </c>
      <c r="AI121" s="9">
        <v>0</v>
      </c>
      <c r="AJ121" s="11">
        <v>1</v>
      </c>
    </row>
    <row r="122" spans="1:36" hidden="1" x14ac:dyDescent="0.3">
      <c r="A122" s="1" t="s">
        <v>92</v>
      </c>
      <c r="B122" s="1">
        <v>217897</v>
      </c>
      <c r="C122" s="1"/>
      <c r="D122" s="1" t="s">
        <v>93</v>
      </c>
      <c r="E122" s="7" t="s">
        <v>63</v>
      </c>
      <c r="F122" s="7" t="s">
        <v>41</v>
      </c>
      <c r="G122" s="8">
        <f>SUM(Tabela1[[#This Row],[Total em Romaneio]],Tabela1[[#This Row],[Saldo Despacho]])/Tabela1[[#This Row],[Total do Pedido]]</f>
        <v>8.7995724535782378E-3</v>
      </c>
      <c r="H122" s="42">
        <f>SUM(Tabela1[[#This Row],[Total em Romaneio]],Tabela1[[#This Row],[Saldo Despacho]])</f>
        <v>1509.04</v>
      </c>
      <c r="I122" s="9">
        <v>171490.15</v>
      </c>
      <c r="J122" s="10">
        <v>46195</v>
      </c>
      <c r="K122" s="2"/>
      <c r="L122" s="8">
        <f>Tabela1[[#This Row],[Saldo Pedido]]/Tabela1[[#This Row],[Total do Pedido]]</f>
        <v>0.86438877101687772</v>
      </c>
      <c r="M122" s="8">
        <f>Tabela1[[#This Row],[Total Despachado]]/Tabela1[[#This Row],[Total do Pedido]]</f>
        <v>0.12681165652954413</v>
      </c>
      <c r="N122" s="2">
        <v>46154</v>
      </c>
      <c r="O122" s="2">
        <v>46157</v>
      </c>
      <c r="P122" s="2"/>
      <c r="Q122" s="10">
        <v>46163</v>
      </c>
      <c r="S122" s="1" t="s">
        <v>31</v>
      </c>
      <c r="T122" s="1" t="s">
        <v>133</v>
      </c>
      <c r="U122" s="1">
        <v>12</v>
      </c>
      <c r="V122" s="1" t="s">
        <v>49</v>
      </c>
      <c r="W122" s="1" t="s">
        <v>35</v>
      </c>
      <c r="X122" s="1" t="s">
        <v>52</v>
      </c>
      <c r="Y122" s="1" t="s">
        <v>43</v>
      </c>
      <c r="Z122" s="9">
        <v>23255.99</v>
      </c>
      <c r="AA122" s="9">
        <v>148234.16</v>
      </c>
      <c r="AB122" s="9">
        <v>75557</v>
      </c>
      <c r="AC122" s="9">
        <v>63679.4</v>
      </c>
      <c r="AD122" s="9">
        <v>11877.6</v>
      </c>
      <c r="AE122" s="9">
        <v>1509.04</v>
      </c>
      <c r="AF122" s="9">
        <v>21746.95</v>
      </c>
      <c r="AG122" s="9">
        <v>149743.20000000001</v>
      </c>
      <c r="AH122" s="9">
        <v>21746.95</v>
      </c>
      <c r="AI122" s="9">
        <v>0</v>
      </c>
      <c r="AJ122" s="11">
        <v>1</v>
      </c>
    </row>
    <row r="123" spans="1:36" x14ac:dyDescent="0.3">
      <c r="A123" s="1" t="s">
        <v>64</v>
      </c>
      <c r="B123" s="1">
        <v>218261</v>
      </c>
      <c r="C123" s="1"/>
      <c r="D123" s="1" t="s">
        <v>65</v>
      </c>
      <c r="E123" s="7" t="s">
        <v>45</v>
      </c>
      <c r="F123" s="7" t="s">
        <v>137</v>
      </c>
      <c r="G123" s="8">
        <f>SUM(Tabela1[[#This Row],[Total em Romaneio]],Tabela1[[#This Row],[Saldo Despacho]])/Tabela1[[#This Row],[Total do Pedido]]</f>
        <v>4.5277312009246043E-3</v>
      </c>
      <c r="H123" s="42">
        <f>SUM(Tabela1[[#This Row],[Total em Romaneio]],Tabela1[[#This Row],[Saldo Despacho]])</f>
        <v>29.46</v>
      </c>
      <c r="I123" s="9">
        <v>6506.57</v>
      </c>
      <c r="J123" s="10">
        <v>46168</v>
      </c>
      <c r="K123" s="2"/>
      <c r="L123" s="8">
        <f>Tabela1[[#This Row],[Saldo Pedido]]/Tabela1[[#This Row],[Total do Pedido]]</f>
        <v>5.60110780334339E-2</v>
      </c>
      <c r="M123" s="8">
        <f>Tabela1[[#This Row],[Total Despachado]]/Tabela1[[#This Row],[Total do Pedido]]</f>
        <v>0.9394611907656415</v>
      </c>
      <c r="N123" s="2">
        <v>46167</v>
      </c>
      <c r="O123" s="2">
        <v>46167</v>
      </c>
      <c r="P123" s="2">
        <v>46168</v>
      </c>
      <c r="Q123" s="10">
        <v>46169</v>
      </c>
      <c r="R123" s="10">
        <v>46182</v>
      </c>
      <c r="S123" s="1" t="s">
        <v>66</v>
      </c>
      <c r="T123" s="1" t="s">
        <v>32</v>
      </c>
      <c r="U123" s="1">
        <v>12</v>
      </c>
      <c r="V123" s="1" t="s">
        <v>39</v>
      </c>
      <c r="W123" s="1" t="s">
        <v>35</v>
      </c>
      <c r="X123" s="1" t="s">
        <v>52</v>
      </c>
      <c r="Y123" s="1" t="s">
        <v>43</v>
      </c>
      <c r="Z123" s="9">
        <v>6142.13</v>
      </c>
      <c r="AA123" s="9">
        <v>364.44</v>
      </c>
      <c r="AB123" s="9">
        <v>141.86000000000001</v>
      </c>
      <c r="AC123" s="9">
        <v>141.86000000000001</v>
      </c>
      <c r="AD123" s="9">
        <v>0</v>
      </c>
      <c r="AE123" s="9">
        <v>29.46</v>
      </c>
      <c r="AF123" s="9">
        <v>6112.67</v>
      </c>
      <c r="AG123" s="9">
        <v>393.9</v>
      </c>
      <c r="AH123" s="9">
        <v>6112.67</v>
      </c>
      <c r="AI123" s="9">
        <v>0</v>
      </c>
      <c r="AJ123" s="11">
        <v>1</v>
      </c>
    </row>
    <row r="124" spans="1:36" hidden="1" x14ac:dyDescent="0.3">
      <c r="A124" s="1" t="s">
        <v>74</v>
      </c>
      <c r="B124" s="1">
        <v>218145</v>
      </c>
      <c r="C124" s="1">
        <v>114266</v>
      </c>
      <c r="D124" s="1" t="s">
        <v>75</v>
      </c>
      <c r="E124" s="7" t="s">
        <v>34</v>
      </c>
      <c r="F124" s="7" t="s">
        <v>100</v>
      </c>
      <c r="G124" s="8">
        <f>SUM(Tabela1[[#This Row],[Total em Romaneio]],Tabela1[[#This Row],[Saldo Despacho]])/Tabela1[[#This Row],[Total do Pedido]]</f>
        <v>4.0024451301158533E-3</v>
      </c>
      <c r="H124" s="42">
        <f>SUM(Tabela1[[#This Row],[Total em Romaneio]],Tabela1[[#This Row],[Saldo Despacho]])</f>
        <v>33</v>
      </c>
      <c r="I124" s="9">
        <v>8244.9599999999991</v>
      </c>
      <c r="J124" s="10">
        <v>46171</v>
      </c>
      <c r="K124" s="2"/>
      <c r="L124" s="8">
        <f>Tabela1[[#This Row],[Saldo Pedido]]/Tabela1[[#This Row],[Total do Pedido]]</f>
        <v>0</v>
      </c>
      <c r="M124" s="8">
        <f>Tabela1[[#This Row],[Total Despachado]]/Tabela1[[#This Row],[Total do Pedido]]</f>
        <v>0.99599755486988417</v>
      </c>
      <c r="N124" s="2">
        <v>46162</v>
      </c>
      <c r="O124" s="2">
        <v>46162</v>
      </c>
      <c r="P124" s="2"/>
      <c r="Q124" s="10">
        <v>46168</v>
      </c>
      <c r="S124" s="1" t="s">
        <v>31</v>
      </c>
      <c r="T124" s="1" t="s">
        <v>38</v>
      </c>
      <c r="U124" s="1">
        <v>12</v>
      </c>
      <c r="V124" s="1" t="s">
        <v>33</v>
      </c>
      <c r="W124" s="1" t="s">
        <v>35</v>
      </c>
      <c r="X124" s="1" t="s">
        <v>51</v>
      </c>
      <c r="Y124" s="1" t="s">
        <v>37</v>
      </c>
      <c r="Z124" s="9">
        <v>8244.9599999999991</v>
      </c>
      <c r="AA124" s="9">
        <v>0</v>
      </c>
      <c r="AB124" s="9">
        <v>1581.51</v>
      </c>
      <c r="AC124" s="9">
        <v>692.11</v>
      </c>
      <c r="AD124" s="9">
        <v>889.4</v>
      </c>
      <c r="AE124" s="9">
        <v>0</v>
      </c>
      <c r="AF124" s="9">
        <v>8244.9599999999991</v>
      </c>
      <c r="AG124" s="9">
        <v>0</v>
      </c>
      <c r="AH124" s="9">
        <v>8211.9599999999991</v>
      </c>
      <c r="AI124" s="9">
        <v>33</v>
      </c>
      <c r="AJ124" s="11">
        <v>1</v>
      </c>
    </row>
    <row r="125" spans="1:36" hidden="1" x14ac:dyDescent="0.3">
      <c r="A125" s="1" t="s">
        <v>130</v>
      </c>
      <c r="B125" s="1">
        <v>217443</v>
      </c>
      <c r="C125" s="1"/>
      <c r="D125" s="1" t="s">
        <v>131</v>
      </c>
      <c r="E125" s="7" t="s">
        <v>88</v>
      </c>
      <c r="F125" s="7" t="s">
        <v>41</v>
      </c>
      <c r="G125" s="8">
        <f>SUM(Tabela1[[#This Row],[Total em Romaneio]],Tabela1[[#This Row],[Saldo Despacho]])/Tabela1[[#This Row],[Total do Pedido]]</f>
        <v>0</v>
      </c>
      <c r="H125" s="42">
        <f>SUM(Tabela1[[#This Row],[Total em Romaneio]],Tabela1[[#This Row],[Saldo Despacho]])</f>
        <v>0</v>
      </c>
      <c r="I125" s="9">
        <v>1799380</v>
      </c>
      <c r="J125" s="10">
        <v>46223</v>
      </c>
      <c r="K125" s="2"/>
      <c r="L125" s="8">
        <f>Tabela1[[#This Row],[Saldo Pedido]]/Tabela1[[#This Row],[Total do Pedido]]</f>
        <v>1</v>
      </c>
      <c r="M125" s="8">
        <f>Tabela1[[#This Row],[Total Despachado]]/Tabela1[[#This Row],[Total do Pedido]]</f>
        <v>0</v>
      </c>
      <c r="N125" s="2">
        <v>46139</v>
      </c>
      <c r="O125" s="2">
        <v>46155</v>
      </c>
      <c r="P125" s="2">
        <v>46160</v>
      </c>
      <c r="R125" s="10">
        <v>46218</v>
      </c>
      <c r="S125" s="1" t="s">
        <v>31</v>
      </c>
      <c r="T125" s="1" t="s">
        <v>133</v>
      </c>
      <c r="U125" s="1">
        <v>12</v>
      </c>
      <c r="V125" s="1" t="s">
        <v>49</v>
      </c>
      <c r="W125" s="1" t="s">
        <v>35</v>
      </c>
      <c r="X125" s="1" t="s">
        <v>58</v>
      </c>
      <c r="Y125" s="1" t="s">
        <v>43</v>
      </c>
      <c r="Z125" s="9">
        <v>0</v>
      </c>
      <c r="AA125" s="9">
        <v>1799380</v>
      </c>
      <c r="AB125" s="9">
        <v>367620</v>
      </c>
      <c r="AC125" s="9">
        <v>367620</v>
      </c>
      <c r="AD125" s="9">
        <v>0</v>
      </c>
      <c r="AE125" s="9">
        <v>0</v>
      </c>
      <c r="AF125" s="9">
        <v>0</v>
      </c>
      <c r="AG125" s="9">
        <v>1799380</v>
      </c>
      <c r="AH125" s="9">
        <v>0</v>
      </c>
      <c r="AI125" s="9">
        <v>0</v>
      </c>
      <c r="AJ125" s="11">
        <v>1</v>
      </c>
    </row>
    <row r="126" spans="1:36" hidden="1" x14ac:dyDescent="0.3">
      <c r="A126" s="1" t="s">
        <v>130</v>
      </c>
      <c r="B126" s="1">
        <v>217441</v>
      </c>
      <c r="C126" s="1"/>
      <c r="D126" s="1" t="s">
        <v>131</v>
      </c>
      <c r="E126" s="7" t="s">
        <v>88</v>
      </c>
      <c r="F126" s="7" t="s">
        <v>41</v>
      </c>
      <c r="G126" s="8">
        <f>SUM(Tabela1[[#This Row],[Total em Romaneio]],Tabela1[[#This Row],[Saldo Despacho]])/Tabela1[[#This Row],[Total do Pedido]]</f>
        <v>0</v>
      </c>
      <c r="H126" s="42">
        <f>SUM(Tabela1[[#This Row],[Total em Romaneio]],Tabela1[[#This Row],[Saldo Despacho]])</f>
        <v>0</v>
      </c>
      <c r="I126" s="9">
        <v>556050</v>
      </c>
      <c r="J126" s="10">
        <v>46223</v>
      </c>
      <c r="K126" s="2"/>
      <c r="L126" s="8">
        <f>Tabela1[[#This Row],[Saldo Pedido]]/Tabela1[[#This Row],[Total do Pedido]]</f>
        <v>1</v>
      </c>
      <c r="M126" s="8">
        <f>Tabela1[[#This Row],[Total Despachado]]/Tabela1[[#This Row],[Total do Pedido]]</f>
        <v>0</v>
      </c>
      <c r="N126" s="2">
        <v>46139</v>
      </c>
      <c r="O126" s="2">
        <v>46162</v>
      </c>
      <c r="P126" s="2"/>
      <c r="R126" s="10">
        <v>46213</v>
      </c>
      <c r="S126" s="1" t="s">
        <v>31</v>
      </c>
      <c r="T126" s="1" t="s">
        <v>133</v>
      </c>
      <c r="U126" s="1">
        <v>12</v>
      </c>
      <c r="V126" s="1" t="s">
        <v>49</v>
      </c>
      <c r="W126" s="1" t="s">
        <v>35</v>
      </c>
      <c r="X126" s="1" t="s">
        <v>36</v>
      </c>
      <c r="Y126" s="1" t="s">
        <v>43</v>
      </c>
      <c r="Z126" s="9">
        <v>0</v>
      </c>
      <c r="AA126" s="9">
        <v>556050</v>
      </c>
      <c r="AB126" s="9">
        <v>297429</v>
      </c>
      <c r="AC126" s="9">
        <v>296888.21999999997</v>
      </c>
      <c r="AD126" s="9">
        <v>540.78</v>
      </c>
      <c r="AE126" s="9">
        <v>0</v>
      </c>
      <c r="AF126" s="9">
        <v>0</v>
      </c>
      <c r="AG126" s="9">
        <v>556050</v>
      </c>
      <c r="AH126" s="9">
        <v>0</v>
      </c>
      <c r="AI126" s="9">
        <v>0</v>
      </c>
      <c r="AJ126" s="11">
        <v>1</v>
      </c>
    </row>
    <row r="127" spans="1:36" hidden="1" x14ac:dyDescent="0.3">
      <c r="A127" s="1" t="s">
        <v>74</v>
      </c>
      <c r="B127" s="1">
        <v>218120</v>
      </c>
      <c r="C127" s="1"/>
      <c r="D127" s="1" t="s">
        <v>75</v>
      </c>
      <c r="E127" s="7" t="s">
        <v>63</v>
      </c>
      <c r="F127" s="7" t="s">
        <v>41</v>
      </c>
      <c r="G127" s="8">
        <f>SUM(Tabela1[[#This Row],[Total em Romaneio]],Tabela1[[#This Row],[Saldo Despacho]])/Tabela1[[#This Row],[Total do Pedido]]</f>
        <v>0</v>
      </c>
      <c r="H127" s="42">
        <f>SUM(Tabela1[[#This Row],[Total em Romaneio]],Tabela1[[#This Row],[Saldo Despacho]])</f>
        <v>0</v>
      </c>
      <c r="I127" s="9">
        <v>389780.5</v>
      </c>
      <c r="J127" s="10">
        <v>46170</v>
      </c>
      <c r="K127" s="2"/>
      <c r="L127" s="8">
        <f>Tabela1[[#This Row],[Saldo Pedido]]/Tabela1[[#This Row],[Total do Pedido]]</f>
        <v>0.15524635018940147</v>
      </c>
      <c r="M127" s="8">
        <f>Tabela1[[#This Row],[Total Despachado]]/Tabela1[[#This Row],[Total do Pedido]]</f>
        <v>0.84475364981059853</v>
      </c>
      <c r="N127" s="2">
        <v>46161</v>
      </c>
      <c r="O127" s="2">
        <v>46162</v>
      </c>
      <c r="P127" s="2"/>
      <c r="Q127" s="10">
        <v>46167</v>
      </c>
      <c r="S127" s="1" t="s">
        <v>31</v>
      </c>
      <c r="T127" s="1" t="s">
        <v>38</v>
      </c>
      <c r="U127" s="1">
        <v>12</v>
      </c>
      <c r="V127" s="1" t="s">
        <v>49</v>
      </c>
      <c r="W127" s="1" t="s">
        <v>35</v>
      </c>
      <c r="X127" s="1" t="s">
        <v>52</v>
      </c>
      <c r="Y127" s="1" t="s">
        <v>43</v>
      </c>
      <c r="Z127" s="9">
        <v>329268.5</v>
      </c>
      <c r="AA127" s="9">
        <v>60512</v>
      </c>
      <c r="AB127" s="9">
        <v>174713.18</v>
      </c>
      <c r="AC127" s="9">
        <v>160624.18</v>
      </c>
      <c r="AD127" s="9">
        <v>14089</v>
      </c>
      <c r="AE127" s="9">
        <v>0</v>
      </c>
      <c r="AF127" s="9">
        <v>329268.5</v>
      </c>
      <c r="AG127" s="9">
        <v>60512</v>
      </c>
      <c r="AH127" s="9">
        <v>329268.5</v>
      </c>
      <c r="AI127" s="9">
        <v>0</v>
      </c>
      <c r="AJ127" s="11">
        <v>1</v>
      </c>
    </row>
    <row r="128" spans="1:36" hidden="1" x14ac:dyDescent="0.3">
      <c r="A128" s="1" t="s">
        <v>68</v>
      </c>
      <c r="B128" s="1">
        <v>214185</v>
      </c>
      <c r="C128" s="1">
        <v>112630</v>
      </c>
      <c r="D128" s="1" t="s">
        <v>69</v>
      </c>
      <c r="E128" s="7" t="s">
        <v>71</v>
      </c>
      <c r="F128" s="7" t="s">
        <v>41</v>
      </c>
      <c r="G128" s="8">
        <f>SUM(Tabela1[[#This Row],[Total em Romaneio]],Tabela1[[#This Row],[Saldo Despacho]])/Tabela1[[#This Row],[Total do Pedido]]</f>
        <v>0</v>
      </c>
      <c r="H128" s="42">
        <f>SUM(Tabela1[[#This Row],[Total em Romaneio]],Tabela1[[#This Row],[Saldo Despacho]])</f>
        <v>0</v>
      </c>
      <c r="I128" s="9">
        <v>335588</v>
      </c>
      <c r="J128" s="10">
        <v>46112</v>
      </c>
      <c r="K128" s="2"/>
      <c r="L128" s="8">
        <f>Tabela1[[#This Row],[Saldo Pedido]]/Tabela1[[#This Row],[Total do Pedido]]</f>
        <v>0</v>
      </c>
      <c r="M128" s="8">
        <f>Tabela1[[#This Row],[Total Despachado]]/Tabela1[[#This Row],[Total do Pedido]]</f>
        <v>0.99202724769658035</v>
      </c>
      <c r="N128" s="2">
        <v>46027</v>
      </c>
      <c r="O128" s="2">
        <v>46027</v>
      </c>
      <c r="P128" s="2">
        <v>46037</v>
      </c>
      <c r="Q128" s="10">
        <v>46156</v>
      </c>
      <c r="S128" s="1" t="s">
        <v>48</v>
      </c>
      <c r="T128" s="1" t="s">
        <v>32</v>
      </c>
      <c r="U128" s="1">
        <v>12</v>
      </c>
      <c r="V128" s="1" t="s">
        <v>33</v>
      </c>
      <c r="X128" s="1" t="s">
        <v>51</v>
      </c>
      <c r="Y128" s="1" t="s">
        <v>37</v>
      </c>
      <c r="Z128" s="9">
        <v>335588</v>
      </c>
      <c r="AA128" s="9">
        <v>0</v>
      </c>
      <c r="AB128" s="9">
        <v>34570</v>
      </c>
      <c r="AC128" s="9">
        <v>34570</v>
      </c>
      <c r="AD128" s="9">
        <v>0</v>
      </c>
      <c r="AE128" s="9">
        <v>0</v>
      </c>
      <c r="AF128" s="9">
        <v>332912.44</v>
      </c>
      <c r="AG128" s="9">
        <v>2675.56</v>
      </c>
      <c r="AH128" s="9">
        <v>332912.44</v>
      </c>
      <c r="AI128" s="9">
        <v>0</v>
      </c>
      <c r="AJ128" s="11">
        <v>1</v>
      </c>
    </row>
    <row r="129" spans="1:36" hidden="1" x14ac:dyDescent="0.3">
      <c r="A129" s="1" t="s">
        <v>68</v>
      </c>
      <c r="B129" s="1">
        <v>214184</v>
      </c>
      <c r="C129" s="1">
        <v>112627</v>
      </c>
      <c r="D129" s="1" t="s">
        <v>69</v>
      </c>
      <c r="E129" s="7" t="s">
        <v>71</v>
      </c>
      <c r="F129" s="7" t="s">
        <v>41</v>
      </c>
      <c r="G129" s="8">
        <f>SUM(Tabela1[[#This Row],[Total em Romaneio]],Tabela1[[#This Row],[Saldo Despacho]])/Tabela1[[#This Row],[Total do Pedido]]</f>
        <v>0</v>
      </c>
      <c r="H129" s="42">
        <f>SUM(Tabela1[[#This Row],[Total em Romaneio]],Tabela1[[#This Row],[Saldo Despacho]])</f>
        <v>0</v>
      </c>
      <c r="I129" s="9">
        <v>328377</v>
      </c>
      <c r="J129" s="10">
        <v>46164</v>
      </c>
      <c r="K129" s="2"/>
      <c r="L129" s="8">
        <f>Tabela1[[#This Row],[Saldo Pedido]]/Tabela1[[#This Row],[Total do Pedido]]</f>
        <v>8.7589173419575672E-2</v>
      </c>
      <c r="M129" s="8">
        <f>Tabela1[[#This Row],[Total Despachado]]/Tabela1[[#This Row],[Total do Pedido]]</f>
        <v>0.91241082658042427</v>
      </c>
      <c r="N129" s="2">
        <v>46027</v>
      </c>
      <c r="O129" s="2">
        <v>46027</v>
      </c>
      <c r="P129" s="2">
        <v>46037</v>
      </c>
      <c r="Q129" s="10">
        <v>46156</v>
      </c>
      <c r="R129" s="10">
        <v>46160</v>
      </c>
      <c r="S129" s="1" t="s">
        <v>48</v>
      </c>
      <c r="T129" s="1" t="s">
        <v>32</v>
      </c>
      <c r="U129" s="1">
        <v>12</v>
      </c>
      <c r="V129" s="1" t="s">
        <v>33</v>
      </c>
      <c r="X129" s="1" t="s">
        <v>51</v>
      </c>
      <c r="Y129" s="1" t="s">
        <v>43</v>
      </c>
      <c r="Z129" s="9">
        <v>299614.73</v>
      </c>
      <c r="AA129" s="9">
        <v>28762.27</v>
      </c>
      <c r="AB129" s="9">
        <v>51855</v>
      </c>
      <c r="AC129" s="9">
        <v>48398</v>
      </c>
      <c r="AD129" s="9">
        <v>3457</v>
      </c>
      <c r="AE129" s="9">
        <v>0</v>
      </c>
      <c r="AF129" s="9">
        <v>299614.73</v>
      </c>
      <c r="AG129" s="9">
        <v>28762.27</v>
      </c>
      <c r="AH129" s="9">
        <v>299614.73</v>
      </c>
      <c r="AI129" s="9">
        <v>0</v>
      </c>
      <c r="AJ129" s="11">
        <v>1</v>
      </c>
    </row>
    <row r="130" spans="1:36" hidden="1" x14ac:dyDescent="0.3">
      <c r="A130" s="1" t="s">
        <v>90</v>
      </c>
      <c r="B130" s="1">
        <v>215888</v>
      </c>
      <c r="C130" s="1"/>
      <c r="D130" s="1" t="s">
        <v>56</v>
      </c>
      <c r="E130" s="7" t="s">
        <v>86</v>
      </c>
      <c r="F130" s="7" t="s">
        <v>87</v>
      </c>
      <c r="G130" s="8">
        <f>SUM(Tabela1[[#This Row],[Total em Romaneio]],Tabela1[[#This Row],[Saldo Despacho]])/Tabela1[[#This Row],[Total do Pedido]]</f>
        <v>0</v>
      </c>
      <c r="H130" s="42">
        <f>SUM(Tabela1[[#This Row],[Total em Romaneio]],Tabela1[[#This Row],[Saldo Despacho]])</f>
        <v>0</v>
      </c>
      <c r="I130" s="9">
        <v>318280</v>
      </c>
      <c r="J130" s="10">
        <v>46104</v>
      </c>
      <c r="K130" s="2"/>
      <c r="L130" s="8">
        <f>Tabela1[[#This Row],[Saldo Pedido]]/Tabela1[[#This Row],[Total do Pedido]]</f>
        <v>1</v>
      </c>
      <c r="M130" s="8">
        <f>Tabela1[[#This Row],[Total Despachado]]/Tabela1[[#This Row],[Total do Pedido]]</f>
        <v>0</v>
      </c>
      <c r="N130" s="2">
        <v>46090</v>
      </c>
      <c r="O130" s="2">
        <v>46090</v>
      </c>
      <c r="P130" s="2"/>
      <c r="S130" s="1" t="s">
        <v>44</v>
      </c>
      <c r="T130" s="1" t="s">
        <v>38</v>
      </c>
      <c r="U130" s="1">
        <v>236</v>
      </c>
      <c r="V130" s="1" t="s">
        <v>85</v>
      </c>
      <c r="W130" s="1" t="s">
        <v>35</v>
      </c>
      <c r="X130" s="1" t="s">
        <v>36</v>
      </c>
      <c r="Y130" s="1" t="s">
        <v>43</v>
      </c>
      <c r="Z130" s="9">
        <v>0</v>
      </c>
      <c r="AA130" s="9">
        <v>318280</v>
      </c>
      <c r="AB130" s="9">
        <v>248200</v>
      </c>
      <c r="AC130" s="9">
        <v>0</v>
      </c>
      <c r="AD130" s="9">
        <v>248200</v>
      </c>
      <c r="AE130" s="9">
        <v>0</v>
      </c>
      <c r="AF130" s="9">
        <v>0</v>
      </c>
      <c r="AG130" s="9">
        <v>318280</v>
      </c>
      <c r="AH130" s="9">
        <v>0</v>
      </c>
      <c r="AI130" s="9">
        <v>0</v>
      </c>
      <c r="AJ130" s="11">
        <v>1</v>
      </c>
    </row>
    <row r="131" spans="1:36" hidden="1" x14ac:dyDescent="0.3">
      <c r="A131" s="1" t="s">
        <v>59</v>
      </c>
      <c r="B131" s="1">
        <v>217242</v>
      </c>
      <c r="C131" s="1"/>
      <c r="D131" s="1" t="s">
        <v>60</v>
      </c>
      <c r="E131" s="7" t="s">
        <v>34</v>
      </c>
      <c r="F131" s="7" t="s">
        <v>41</v>
      </c>
      <c r="G131" s="8">
        <f>SUM(Tabela1[[#This Row],[Total em Romaneio]],Tabela1[[#This Row],[Saldo Despacho]])/Tabela1[[#This Row],[Total do Pedido]]</f>
        <v>0</v>
      </c>
      <c r="H131" s="42">
        <f>SUM(Tabela1[[#This Row],[Total em Romaneio]],Tabela1[[#This Row],[Saldo Despacho]])</f>
        <v>0</v>
      </c>
      <c r="I131" s="9">
        <v>243151.73</v>
      </c>
      <c r="J131" s="10">
        <v>46139</v>
      </c>
      <c r="K131" s="2"/>
      <c r="L131" s="8">
        <f>Tabela1[[#This Row],[Saldo Pedido]]/Tabela1[[#This Row],[Total do Pedido]]</f>
        <v>0</v>
      </c>
      <c r="M131" s="8">
        <f>Tabela1[[#This Row],[Total Despachado]]/Tabela1[[#This Row],[Total do Pedido]]</f>
        <v>1.353627013058883</v>
      </c>
      <c r="N131" s="2">
        <v>46129</v>
      </c>
      <c r="O131" s="2">
        <v>46129</v>
      </c>
      <c r="P131" s="2"/>
      <c r="Q131" s="10">
        <v>46161</v>
      </c>
      <c r="S131" s="1" t="s">
        <v>31</v>
      </c>
      <c r="T131" s="1" t="s">
        <v>32</v>
      </c>
      <c r="U131" s="1">
        <v>12</v>
      </c>
      <c r="V131" s="1" t="s">
        <v>49</v>
      </c>
      <c r="W131" s="1" t="s">
        <v>35</v>
      </c>
      <c r="X131" s="1" t="s">
        <v>52</v>
      </c>
      <c r="Y131" s="1" t="s">
        <v>43</v>
      </c>
      <c r="Z131" s="9">
        <v>244653.25</v>
      </c>
      <c r="AA131" s="9">
        <v>0</v>
      </c>
      <c r="AB131" s="9">
        <v>173814.55</v>
      </c>
      <c r="AC131" s="9">
        <v>114288.41</v>
      </c>
      <c r="AD131" s="9">
        <v>59526.14</v>
      </c>
      <c r="AE131" s="9">
        <v>0</v>
      </c>
      <c r="AF131" s="9">
        <v>240411.73</v>
      </c>
      <c r="AG131" s="9">
        <v>2740</v>
      </c>
      <c r="AH131" s="9">
        <v>329136.75</v>
      </c>
      <c r="AI131" s="9">
        <v>0</v>
      </c>
      <c r="AJ131" s="11">
        <v>1</v>
      </c>
    </row>
    <row r="132" spans="1:36" hidden="1" x14ac:dyDescent="0.3">
      <c r="A132" s="1" t="s">
        <v>46</v>
      </c>
      <c r="B132" s="1">
        <v>217442</v>
      </c>
      <c r="C132" s="1"/>
      <c r="D132" s="1" t="s">
        <v>47</v>
      </c>
      <c r="E132" s="7" t="s">
        <v>88</v>
      </c>
      <c r="F132" s="7" t="s">
        <v>41</v>
      </c>
      <c r="G132" s="8">
        <f>SUM(Tabela1[[#This Row],[Total em Romaneio]],Tabela1[[#This Row],[Saldo Despacho]])/Tabela1[[#This Row],[Total do Pedido]]</f>
        <v>0</v>
      </c>
      <c r="H132" s="42">
        <f>SUM(Tabela1[[#This Row],[Total em Romaneio]],Tabela1[[#This Row],[Saldo Despacho]])</f>
        <v>0</v>
      </c>
      <c r="I132" s="9">
        <v>171567</v>
      </c>
      <c r="J132" s="10">
        <v>46175</v>
      </c>
      <c r="K132" s="2"/>
      <c r="L132" s="8">
        <f>Tabela1[[#This Row],[Saldo Pedido]]/Tabela1[[#This Row],[Total do Pedido]]</f>
        <v>1</v>
      </c>
      <c r="M132" s="8">
        <f>Tabela1[[#This Row],[Total Despachado]]/Tabela1[[#This Row],[Total do Pedido]]</f>
        <v>0</v>
      </c>
      <c r="N132" s="2">
        <v>46139</v>
      </c>
      <c r="O132" s="2">
        <v>46139</v>
      </c>
      <c r="P132" s="2">
        <v>46149</v>
      </c>
      <c r="R132" s="10">
        <v>46203</v>
      </c>
      <c r="S132" s="1" t="s">
        <v>48</v>
      </c>
      <c r="T132" s="1" t="s">
        <v>32</v>
      </c>
      <c r="U132" s="1">
        <v>12</v>
      </c>
      <c r="V132" s="1" t="s">
        <v>49</v>
      </c>
      <c r="W132" s="1" t="s">
        <v>35</v>
      </c>
      <c r="X132" s="1" t="s">
        <v>58</v>
      </c>
      <c r="Y132" s="1" t="s">
        <v>43</v>
      </c>
      <c r="Z132" s="9">
        <v>0</v>
      </c>
      <c r="AA132" s="9">
        <v>171567</v>
      </c>
      <c r="AB132" s="9">
        <v>79510.039999999994</v>
      </c>
      <c r="AC132" s="9">
        <v>79510.039999999994</v>
      </c>
      <c r="AD132" s="9">
        <v>0</v>
      </c>
      <c r="AE132" s="9">
        <v>0</v>
      </c>
      <c r="AF132" s="9">
        <v>0</v>
      </c>
      <c r="AG132" s="9">
        <v>171567</v>
      </c>
      <c r="AH132" s="9">
        <v>0</v>
      </c>
      <c r="AI132" s="9">
        <v>0</v>
      </c>
      <c r="AJ132" s="11">
        <v>1</v>
      </c>
    </row>
    <row r="133" spans="1:36" hidden="1" x14ac:dyDescent="0.3">
      <c r="A133" s="1" t="s">
        <v>106</v>
      </c>
      <c r="B133" s="1">
        <v>217565</v>
      </c>
      <c r="C133" s="1"/>
      <c r="D133" s="1" t="s">
        <v>69</v>
      </c>
      <c r="E133" s="7" t="s">
        <v>86</v>
      </c>
      <c r="F133" s="7" t="s">
        <v>87</v>
      </c>
      <c r="G133" s="8">
        <f>SUM(Tabela1[[#This Row],[Total em Romaneio]],Tabela1[[#This Row],[Saldo Despacho]])/Tabela1[[#This Row],[Total do Pedido]]</f>
        <v>0</v>
      </c>
      <c r="H133" s="42">
        <f>SUM(Tabela1[[#This Row],[Total em Romaneio]],Tabela1[[#This Row],[Saldo Despacho]])</f>
        <v>0</v>
      </c>
      <c r="I133" s="9">
        <v>158251.19</v>
      </c>
      <c r="J133" s="10">
        <v>46152</v>
      </c>
      <c r="K133" s="2"/>
      <c r="L133" s="8">
        <f>Tabela1[[#This Row],[Saldo Pedido]]/Tabela1[[#This Row],[Total do Pedido]]</f>
        <v>0.22053780448665189</v>
      </c>
      <c r="M133" s="8">
        <f>Tabela1[[#This Row],[Total Despachado]]/Tabela1[[#This Row],[Total do Pedido]]</f>
        <v>0.77946143722521133</v>
      </c>
      <c r="N133" s="2">
        <v>46142</v>
      </c>
      <c r="O133" s="2">
        <v>46160</v>
      </c>
      <c r="P133" s="2"/>
      <c r="Q133" s="10">
        <v>46169</v>
      </c>
      <c r="S133" s="1" t="s">
        <v>44</v>
      </c>
      <c r="T133" s="1" t="s">
        <v>115</v>
      </c>
      <c r="U133" s="1">
        <v>236</v>
      </c>
      <c r="V133" s="1" t="s">
        <v>85</v>
      </c>
      <c r="W133" s="1" t="s">
        <v>35</v>
      </c>
      <c r="X133" s="1" t="s">
        <v>52</v>
      </c>
      <c r="Y133" s="1" t="s">
        <v>43</v>
      </c>
      <c r="Z133" s="9">
        <v>123350.82</v>
      </c>
      <c r="AA133" s="9">
        <v>34900.370000000003</v>
      </c>
      <c r="AB133" s="9">
        <v>186914.19</v>
      </c>
      <c r="AC133" s="9">
        <v>186690.4</v>
      </c>
      <c r="AD133" s="9">
        <v>223.79</v>
      </c>
      <c r="AE133" s="9">
        <v>0</v>
      </c>
      <c r="AF133" s="9">
        <v>123350.7</v>
      </c>
      <c r="AG133" s="9">
        <v>34900.49</v>
      </c>
      <c r="AH133" s="9">
        <v>123350.7</v>
      </c>
      <c r="AI133" s="9">
        <v>0</v>
      </c>
      <c r="AJ133" s="11">
        <v>1</v>
      </c>
    </row>
    <row r="134" spans="1:36" hidden="1" x14ac:dyDescent="0.3">
      <c r="A134" s="1" t="s">
        <v>101</v>
      </c>
      <c r="B134" s="1">
        <v>214900</v>
      </c>
      <c r="C134" s="1"/>
      <c r="D134" s="1" t="s">
        <v>99</v>
      </c>
      <c r="E134" s="7" t="s">
        <v>86</v>
      </c>
      <c r="F134" s="7" t="s">
        <v>87</v>
      </c>
      <c r="G134" s="8">
        <f>SUM(Tabela1[[#This Row],[Total em Romaneio]],Tabela1[[#This Row],[Saldo Despacho]])/Tabela1[[#This Row],[Total do Pedido]]</f>
        <v>0</v>
      </c>
      <c r="H134" s="42">
        <f>SUM(Tabela1[[#This Row],[Total em Romaneio]],Tabela1[[#This Row],[Saldo Despacho]])</f>
        <v>0</v>
      </c>
      <c r="I134" s="9">
        <v>136823</v>
      </c>
      <c r="J134" s="10">
        <v>46105</v>
      </c>
      <c r="K134" s="2"/>
      <c r="L134" s="8">
        <f>Tabela1[[#This Row],[Saldo Pedido]]/Tabela1[[#This Row],[Total do Pedido]]</f>
        <v>0.47663916154447716</v>
      </c>
      <c r="M134" s="8">
        <f>Tabela1[[#This Row],[Total Despachado]]/Tabela1[[#This Row],[Total do Pedido]]</f>
        <v>0.52336083845552284</v>
      </c>
      <c r="N134" s="2">
        <v>46056</v>
      </c>
      <c r="O134" s="2">
        <v>46056</v>
      </c>
      <c r="P134" s="2">
        <v>46076</v>
      </c>
      <c r="S134" s="1" t="s">
        <v>44</v>
      </c>
      <c r="T134" s="1" t="s">
        <v>82</v>
      </c>
      <c r="U134" s="1">
        <v>236</v>
      </c>
      <c r="V134" s="1" t="s">
        <v>103</v>
      </c>
      <c r="X134" s="1" t="s">
        <v>58</v>
      </c>
      <c r="Y134" s="1" t="s">
        <v>43</v>
      </c>
      <c r="Z134" s="9">
        <v>71607.8</v>
      </c>
      <c r="AA134" s="9">
        <v>65215.199999999997</v>
      </c>
      <c r="AB134" s="9">
        <v>135477.5</v>
      </c>
      <c r="AC134" s="9">
        <v>135477.5</v>
      </c>
      <c r="AD134" s="9">
        <v>0</v>
      </c>
      <c r="AE134" s="9">
        <v>0</v>
      </c>
      <c r="AF134" s="9">
        <v>71607.8</v>
      </c>
      <c r="AG134" s="9">
        <v>65215.199999999997</v>
      </c>
      <c r="AH134" s="9">
        <v>71607.8</v>
      </c>
      <c r="AI134" s="9">
        <v>0</v>
      </c>
      <c r="AJ134" s="11">
        <v>1</v>
      </c>
    </row>
    <row r="135" spans="1:36" hidden="1" x14ac:dyDescent="0.3">
      <c r="A135" s="43" t="s">
        <v>46</v>
      </c>
      <c r="B135" s="43">
        <v>214664</v>
      </c>
      <c r="C135" s="43"/>
      <c r="D135" s="43" t="s">
        <v>47</v>
      </c>
      <c r="E135" s="37" t="s">
        <v>94</v>
      </c>
      <c r="F135" s="37" t="s">
        <v>41</v>
      </c>
      <c r="G135" s="38">
        <f>SUM(Tabela1[[#This Row],[Total em Romaneio]],Tabela1[[#This Row],[Saldo Despacho]])/Tabela1[[#This Row],[Total do Pedido]]</f>
        <v>0.53220843163401366</v>
      </c>
      <c r="H135" s="44">
        <f>SUM(Tabela1[[#This Row],[Total em Romaneio]],Tabela1[[#This Row],[Saldo Despacho]])</f>
        <v>51054.84</v>
      </c>
      <c r="I135" s="39">
        <v>95930.16</v>
      </c>
      <c r="J135" s="40">
        <v>46164</v>
      </c>
      <c r="K135" s="45"/>
      <c r="L135" s="38">
        <f>Tabela1[[#This Row],[Saldo Pedido]]/Tabela1[[#This Row],[Total do Pedido]]</f>
        <v>0.46779156836598623</v>
      </c>
      <c r="M135" s="38">
        <f>Tabela1[[#This Row],[Total Despachado]]/Tabela1[[#This Row],[Total do Pedido]]</f>
        <v>0</v>
      </c>
      <c r="N135" s="45">
        <v>46049</v>
      </c>
      <c r="O135" s="45">
        <v>46161</v>
      </c>
      <c r="P135" s="45">
        <v>46059</v>
      </c>
      <c r="Q135" s="40"/>
      <c r="R135" s="40"/>
      <c r="S135" s="43" t="s">
        <v>48</v>
      </c>
      <c r="T135" s="43" t="s">
        <v>32</v>
      </c>
      <c r="U135" s="43">
        <v>12</v>
      </c>
      <c r="V135" s="43" t="s">
        <v>49</v>
      </c>
      <c r="W135" s="43" t="s">
        <v>35</v>
      </c>
      <c r="X135" s="43" t="s">
        <v>36</v>
      </c>
      <c r="Y135" s="43" t="s">
        <v>43</v>
      </c>
      <c r="Z135" s="39">
        <v>51054.84</v>
      </c>
      <c r="AA135" s="39">
        <v>44875.32</v>
      </c>
      <c r="AB135" s="39">
        <v>22123.599999999999</v>
      </c>
      <c r="AC135" s="39">
        <v>21694</v>
      </c>
      <c r="AD135" s="39">
        <v>429.6</v>
      </c>
      <c r="AE135" s="39">
        <v>0</v>
      </c>
      <c r="AF135" s="39">
        <v>0</v>
      </c>
      <c r="AG135" s="39">
        <v>95930.16</v>
      </c>
      <c r="AH135" s="39">
        <v>0</v>
      </c>
      <c r="AI135" s="39">
        <v>51054.84</v>
      </c>
      <c r="AJ135" s="41">
        <v>1</v>
      </c>
    </row>
    <row r="136" spans="1:36" hidden="1" x14ac:dyDescent="0.3">
      <c r="A136" s="1" t="s">
        <v>117</v>
      </c>
      <c r="B136" s="1">
        <v>217219</v>
      </c>
      <c r="C136" s="1"/>
      <c r="D136" s="1" t="s">
        <v>56</v>
      </c>
      <c r="E136" s="7" t="s">
        <v>86</v>
      </c>
      <c r="F136" s="7" t="s">
        <v>87</v>
      </c>
      <c r="G136" s="8">
        <f>SUM(Tabela1[[#This Row],[Total em Romaneio]],Tabela1[[#This Row],[Saldo Despacho]])/Tabela1[[#This Row],[Total do Pedido]]</f>
        <v>0</v>
      </c>
      <c r="H136" s="42">
        <f>SUM(Tabela1[[#This Row],[Total em Romaneio]],Tabela1[[#This Row],[Saldo Despacho]])</f>
        <v>0</v>
      </c>
      <c r="I136" s="9">
        <v>93415.44</v>
      </c>
      <c r="J136" s="10">
        <v>46132</v>
      </c>
      <c r="K136" s="2"/>
      <c r="L136" s="8">
        <f>Tabela1[[#This Row],[Saldo Pedido]]/Tabela1[[#This Row],[Total do Pedido]]</f>
        <v>1</v>
      </c>
      <c r="M136" s="8">
        <f>Tabela1[[#This Row],[Total Despachado]]/Tabela1[[#This Row],[Total do Pedido]]</f>
        <v>0</v>
      </c>
      <c r="N136" s="2">
        <v>46128</v>
      </c>
      <c r="O136" s="2">
        <v>46128</v>
      </c>
      <c r="P136" s="2"/>
      <c r="S136" s="1" t="s">
        <v>44</v>
      </c>
      <c r="T136" s="1" t="s">
        <v>32</v>
      </c>
      <c r="U136" s="1">
        <v>236</v>
      </c>
      <c r="V136" s="1" t="s">
        <v>85</v>
      </c>
      <c r="W136" s="1" t="s">
        <v>35</v>
      </c>
      <c r="X136" s="1" t="s">
        <v>58</v>
      </c>
      <c r="Y136" s="1" t="s">
        <v>43</v>
      </c>
      <c r="Z136" s="9">
        <v>0</v>
      </c>
      <c r="AA136" s="9">
        <v>93415.44</v>
      </c>
      <c r="AB136" s="9">
        <v>103950</v>
      </c>
      <c r="AC136" s="9">
        <v>103950</v>
      </c>
      <c r="AD136" s="9">
        <v>0</v>
      </c>
      <c r="AE136" s="9">
        <v>0</v>
      </c>
      <c r="AF136" s="9">
        <v>0</v>
      </c>
      <c r="AG136" s="9">
        <v>93415.44</v>
      </c>
      <c r="AH136" s="9">
        <v>0</v>
      </c>
      <c r="AI136" s="9">
        <v>0</v>
      </c>
      <c r="AJ136" s="11">
        <v>1</v>
      </c>
    </row>
    <row r="137" spans="1:36" hidden="1" x14ac:dyDescent="0.3">
      <c r="A137" s="1" t="s">
        <v>59</v>
      </c>
      <c r="B137" s="1">
        <v>218162</v>
      </c>
      <c r="C137" s="1">
        <v>114271</v>
      </c>
      <c r="D137" s="1" t="s">
        <v>60</v>
      </c>
      <c r="E137" s="7" t="s">
        <v>50</v>
      </c>
      <c r="F137" s="7" t="s">
        <v>41</v>
      </c>
      <c r="G137" s="8">
        <f>SUM(Tabela1[[#This Row],[Total em Romaneio]],Tabela1[[#This Row],[Saldo Despacho]])/Tabela1[[#This Row],[Total do Pedido]]</f>
        <v>0</v>
      </c>
      <c r="H137" s="42">
        <f>SUM(Tabela1[[#This Row],[Total em Romaneio]],Tabela1[[#This Row],[Saldo Despacho]])</f>
        <v>0</v>
      </c>
      <c r="I137" s="9">
        <v>81939.03</v>
      </c>
      <c r="J137" s="10">
        <v>46174</v>
      </c>
      <c r="K137" s="2"/>
      <c r="L137" s="8">
        <f>Tabela1[[#This Row],[Saldo Pedido]]/Tabela1[[#This Row],[Total do Pedido]]</f>
        <v>0</v>
      </c>
      <c r="M137" s="8">
        <f>Tabela1[[#This Row],[Total Despachado]]/Tabela1[[#This Row],[Total do Pedido]]</f>
        <v>0.8850241453920068</v>
      </c>
      <c r="N137" s="2">
        <v>46163</v>
      </c>
      <c r="O137" s="2">
        <v>46163</v>
      </c>
      <c r="P137" s="2"/>
      <c r="S137" s="1" t="s">
        <v>31</v>
      </c>
      <c r="T137" s="1" t="s">
        <v>38</v>
      </c>
      <c r="U137" s="1">
        <v>12</v>
      </c>
      <c r="V137" s="1" t="s">
        <v>61</v>
      </c>
      <c r="W137" s="1" t="s">
        <v>35</v>
      </c>
      <c r="X137" s="1" t="s">
        <v>42</v>
      </c>
      <c r="Y137" s="1" t="s">
        <v>37</v>
      </c>
      <c r="Z137" s="9">
        <v>81939.03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72518.02</v>
      </c>
      <c r="AG137" s="9">
        <v>9421.01</v>
      </c>
      <c r="AH137" s="9">
        <v>72518.02</v>
      </c>
      <c r="AI137" s="9">
        <v>0</v>
      </c>
      <c r="AJ137" s="11">
        <v>1</v>
      </c>
    </row>
    <row r="138" spans="1:36" hidden="1" x14ac:dyDescent="0.3">
      <c r="A138" s="1" t="s">
        <v>53</v>
      </c>
      <c r="B138" s="1">
        <v>217938</v>
      </c>
      <c r="C138" s="1"/>
      <c r="D138" s="1" t="s">
        <v>54</v>
      </c>
      <c r="E138" s="7" t="s">
        <v>63</v>
      </c>
      <c r="F138" s="7" t="s">
        <v>41</v>
      </c>
      <c r="G138" s="8">
        <f>SUM(Tabela1[[#This Row],[Total em Romaneio]],Tabela1[[#This Row],[Saldo Despacho]])/Tabela1[[#This Row],[Total do Pedido]]</f>
        <v>0</v>
      </c>
      <c r="H138" s="42">
        <f>SUM(Tabela1[[#This Row],[Total em Romaneio]],Tabela1[[#This Row],[Saldo Despacho]])</f>
        <v>0</v>
      </c>
      <c r="I138" s="9">
        <v>72764.27</v>
      </c>
      <c r="J138" s="10">
        <v>46169</v>
      </c>
      <c r="K138" s="2"/>
      <c r="L138" s="8">
        <f>Tabela1[[#This Row],[Saldo Pedido]]/Tabela1[[#This Row],[Total do Pedido]]</f>
        <v>0</v>
      </c>
      <c r="M138" s="8">
        <f>Tabela1[[#This Row],[Total Despachado]]/Tabela1[[#This Row],[Total do Pedido]]</f>
        <v>0.56948430871360356</v>
      </c>
      <c r="N138" s="2">
        <v>46155</v>
      </c>
      <c r="O138" s="2">
        <v>46156</v>
      </c>
      <c r="P138" s="2"/>
      <c r="Q138" s="10">
        <v>46162</v>
      </c>
      <c r="R138" s="10">
        <v>46162</v>
      </c>
      <c r="S138" s="1" t="s">
        <v>31</v>
      </c>
      <c r="T138" s="1" t="s">
        <v>133</v>
      </c>
      <c r="U138" s="1">
        <v>12</v>
      </c>
      <c r="V138" s="1" t="s">
        <v>49</v>
      </c>
      <c r="W138" s="1" t="s">
        <v>35</v>
      </c>
      <c r="X138" s="1" t="s">
        <v>51</v>
      </c>
      <c r="Y138" s="1" t="s">
        <v>37</v>
      </c>
      <c r="Z138" s="9">
        <v>72764.27</v>
      </c>
      <c r="AA138" s="9">
        <v>0</v>
      </c>
      <c r="AB138" s="9">
        <v>22745.98</v>
      </c>
      <c r="AC138" s="9">
        <v>22745.98</v>
      </c>
      <c r="AD138" s="9">
        <v>0</v>
      </c>
      <c r="AE138" s="9">
        <v>0</v>
      </c>
      <c r="AF138" s="9">
        <v>41438.11</v>
      </c>
      <c r="AG138" s="9">
        <v>31326.16</v>
      </c>
      <c r="AH138" s="9">
        <v>41438.11</v>
      </c>
      <c r="AI138" s="9">
        <v>0</v>
      </c>
      <c r="AJ138" s="11">
        <v>1</v>
      </c>
    </row>
    <row r="139" spans="1:36" hidden="1" x14ac:dyDescent="0.3">
      <c r="A139" s="1" t="s">
        <v>102</v>
      </c>
      <c r="B139" s="1">
        <v>216974</v>
      </c>
      <c r="C139" s="1"/>
      <c r="D139" s="1" t="s">
        <v>56</v>
      </c>
      <c r="E139" s="7" t="s">
        <v>86</v>
      </c>
      <c r="F139" s="7" t="s">
        <v>87</v>
      </c>
      <c r="G139" s="8">
        <f>SUM(Tabela1[[#This Row],[Total em Romaneio]],Tabela1[[#This Row],[Saldo Despacho]])/Tabela1[[#This Row],[Total do Pedido]]</f>
        <v>0</v>
      </c>
      <c r="H139" s="42">
        <f>SUM(Tabela1[[#This Row],[Total em Romaneio]],Tabela1[[#This Row],[Saldo Despacho]])</f>
        <v>0</v>
      </c>
      <c r="I139" s="9">
        <v>72000</v>
      </c>
      <c r="J139" s="10">
        <v>46132</v>
      </c>
      <c r="K139" s="2"/>
      <c r="L139" s="8">
        <f>Tabela1[[#This Row],[Saldo Pedido]]/Tabela1[[#This Row],[Total do Pedido]]</f>
        <v>1</v>
      </c>
      <c r="M139" s="8">
        <f>Tabela1[[#This Row],[Total Despachado]]/Tabela1[[#This Row],[Total do Pedido]]</f>
        <v>0</v>
      </c>
      <c r="N139" s="2">
        <v>46122</v>
      </c>
      <c r="O139" s="2">
        <v>46122</v>
      </c>
      <c r="P139" s="2"/>
      <c r="S139" s="1" t="s">
        <v>44</v>
      </c>
      <c r="T139" s="1" t="s">
        <v>115</v>
      </c>
      <c r="U139" s="1">
        <v>236</v>
      </c>
      <c r="V139" s="1" t="s">
        <v>85</v>
      </c>
      <c r="W139" s="1" t="s">
        <v>35</v>
      </c>
      <c r="X139" s="1" t="s">
        <v>58</v>
      </c>
      <c r="Y139" s="1" t="s">
        <v>43</v>
      </c>
      <c r="Z139" s="9">
        <v>0</v>
      </c>
      <c r="AA139" s="9">
        <v>72000</v>
      </c>
      <c r="AB139" s="9">
        <v>68000</v>
      </c>
      <c r="AC139" s="9">
        <v>68000</v>
      </c>
      <c r="AD139" s="9">
        <v>0</v>
      </c>
      <c r="AE139" s="9">
        <v>0</v>
      </c>
      <c r="AF139" s="9">
        <v>0</v>
      </c>
      <c r="AG139" s="9">
        <v>72000</v>
      </c>
      <c r="AH139" s="9">
        <v>0</v>
      </c>
      <c r="AI139" s="9">
        <v>0</v>
      </c>
      <c r="AJ139" s="11">
        <v>1</v>
      </c>
    </row>
    <row r="140" spans="1:36" hidden="1" x14ac:dyDescent="0.3">
      <c r="A140" s="1" t="s">
        <v>59</v>
      </c>
      <c r="B140" s="1">
        <v>217557</v>
      </c>
      <c r="C140" s="1"/>
      <c r="D140" s="1" t="s">
        <v>60</v>
      </c>
      <c r="E140" s="7" t="s">
        <v>34</v>
      </c>
      <c r="F140" s="7" t="s">
        <v>41</v>
      </c>
      <c r="G140" s="8">
        <f>SUM(Tabela1[[#This Row],[Total em Romaneio]],Tabela1[[#This Row],[Saldo Despacho]])/Tabela1[[#This Row],[Total do Pedido]]</f>
        <v>0</v>
      </c>
      <c r="H140" s="42">
        <f>SUM(Tabela1[[#This Row],[Total em Romaneio]],Tabela1[[#This Row],[Saldo Despacho]])</f>
        <v>0</v>
      </c>
      <c r="I140" s="9">
        <v>64500</v>
      </c>
      <c r="J140" s="10">
        <v>46165</v>
      </c>
      <c r="K140" s="2"/>
      <c r="L140" s="8">
        <f>Tabela1[[#This Row],[Saldo Pedido]]/Tabela1[[#This Row],[Total do Pedido]]</f>
        <v>1</v>
      </c>
      <c r="M140" s="8">
        <f>Tabela1[[#This Row],[Total Despachado]]/Tabela1[[#This Row],[Total do Pedido]]</f>
        <v>0</v>
      </c>
      <c r="N140" s="2">
        <v>46141</v>
      </c>
      <c r="O140" s="2">
        <v>46142</v>
      </c>
      <c r="P140" s="2">
        <v>46153</v>
      </c>
      <c r="R140" s="10">
        <v>46171</v>
      </c>
      <c r="S140" s="1" t="s">
        <v>31</v>
      </c>
      <c r="T140" s="1" t="s">
        <v>38</v>
      </c>
      <c r="U140" s="1">
        <v>12</v>
      </c>
      <c r="V140" s="1" t="s">
        <v>49</v>
      </c>
      <c r="W140" s="1" t="s">
        <v>35</v>
      </c>
      <c r="X140" s="1" t="s">
        <v>36</v>
      </c>
      <c r="Y140" s="1" t="s">
        <v>43</v>
      </c>
      <c r="Z140" s="9">
        <v>0</v>
      </c>
      <c r="AA140" s="9">
        <v>64500</v>
      </c>
      <c r="AB140" s="9">
        <v>159794.4</v>
      </c>
      <c r="AC140" s="9">
        <v>115135.2</v>
      </c>
      <c r="AD140" s="9">
        <v>44659.199999999997</v>
      </c>
      <c r="AE140" s="9">
        <v>0</v>
      </c>
      <c r="AF140" s="9">
        <v>0</v>
      </c>
      <c r="AG140" s="9">
        <v>64500</v>
      </c>
      <c r="AH140" s="9">
        <v>0</v>
      </c>
      <c r="AI140" s="9">
        <v>0</v>
      </c>
      <c r="AJ140" s="11">
        <v>1</v>
      </c>
    </row>
    <row r="141" spans="1:36" hidden="1" x14ac:dyDescent="0.3">
      <c r="A141" s="1" t="s">
        <v>142</v>
      </c>
      <c r="B141" s="1">
        <v>217977</v>
      </c>
      <c r="C141" s="1"/>
      <c r="D141" s="1" t="s">
        <v>140</v>
      </c>
      <c r="E141" s="7" t="s">
        <v>40</v>
      </c>
      <c r="F141" s="7" t="s">
        <v>41</v>
      </c>
      <c r="G141" s="8">
        <f>SUM(Tabela1[[#This Row],[Total em Romaneio]],Tabela1[[#This Row],[Saldo Despacho]])/Tabela1[[#This Row],[Total do Pedido]]</f>
        <v>0</v>
      </c>
      <c r="H141" s="42">
        <f>SUM(Tabela1[[#This Row],[Total em Romaneio]],Tabela1[[#This Row],[Saldo Despacho]])</f>
        <v>0</v>
      </c>
      <c r="I141" s="9">
        <v>64459.97</v>
      </c>
      <c r="J141" s="10">
        <v>46171</v>
      </c>
      <c r="K141" s="2"/>
      <c r="L141" s="8">
        <f>Tabela1[[#This Row],[Saldo Pedido]]/Tabela1[[#This Row],[Total do Pedido]]</f>
        <v>0.72037870945332427</v>
      </c>
      <c r="M141" s="8">
        <f>Tabela1[[#This Row],[Total Despachado]]/Tabela1[[#This Row],[Total do Pedido]]</f>
        <v>0.23149483314993785</v>
      </c>
      <c r="N141" s="2">
        <v>46156</v>
      </c>
      <c r="O141" s="2">
        <v>46156</v>
      </c>
      <c r="P141" s="2">
        <v>46171</v>
      </c>
      <c r="R141" s="10">
        <v>46193</v>
      </c>
      <c r="S141" s="1" t="s">
        <v>31</v>
      </c>
      <c r="T141" s="1" t="s">
        <v>38</v>
      </c>
      <c r="U141" s="1">
        <v>12</v>
      </c>
      <c r="V141" s="1" t="s">
        <v>39</v>
      </c>
      <c r="W141" s="1" t="s">
        <v>35</v>
      </c>
      <c r="X141" s="1" t="s">
        <v>52</v>
      </c>
      <c r="Y141" s="1" t="s">
        <v>43</v>
      </c>
      <c r="Z141" s="9">
        <v>18024.38</v>
      </c>
      <c r="AA141" s="9">
        <v>46435.59</v>
      </c>
      <c r="AB141" s="9">
        <v>17464.599999999999</v>
      </c>
      <c r="AC141" s="9">
        <v>16954</v>
      </c>
      <c r="AD141" s="9">
        <v>510.6</v>
      </c>
      <c r="AE141" s="9">
        <v>0</v>
      </c>
      <c r="AF141" s="9">
        <v>14922.15</v>
      </c>
      <c r="AG141" s="9">
        <v>49537.82</v>
      </c>
      <c r="AH141" s="9">
        <v>14922.15</v>
      </c>
      <c r="AI141" s="9">
        <v>0</v>
      </c>
      <c r="AJ141" s="11">
        <v>1</v>
      </c>
    </row>
    <row r="142" spans="1:36" hidden="1" x14ac:dyDescent="0.3">
      <c r="A142" s="1" t="s">
        <v>102</v>
      </c>
      <c r="B142" s="1">
        <v>215234</v>
      </c>
      <c r="C142" s="1"/>
      <c r="D142" s="1" t="s">
        <v>56</v>
      </c>
      <c r="E142" s="7" t="s">
        <v>86</v>
      </c>
      <c r="F142" s="7" t="s">
        <v>87</v>
      </c>
      <c r="G142" s="8">
        <f>SUM(Tabela1[[#This Row],[Total em Romaneio]],Tabela1[[#This Row],[Saldo Despacho]])/Tabela1[[#This Row],[Total do Pedido]]</f>
        <v>0</v>
      </c>
      <c r="H142" s="42">
        <f>SUM(Tabela1[[#This Row],[Total em Romaneio]],Tabela1[[#This Row],[Saldo Despacho]])</f>
        <v>0</v>
      </c>
      <c r="I142" s="9">
        <v>61671.17</v>
      </c>
      <c r="J142" s="10">
        <v>46094</v>
      </c>
      <c r="K142" s="2"/>
      <c r="L142" s="8">
        <f>Tabela1[[#This Row],[Saldo Pedido]]/Tabela1[[#This Row],[Total do Pedido]]</f>
        <v>1</v>
      </c>
      <c r="M142" s="8">
        <f>Tabela1[[#This Row],[Total Despachado]]/Tabela1[[#This Row],[Total do Pedido]]</f>
        <v>0</v>
      </c>
      <c r="N142" s="2">
        <v>46066</v>
      </c>
      <c r="O142" s="2">
        <v>46066</v>
      </c>
      <c r="P142" s="2"/>
      <c r="S142" s="1" t="s">
        <v>44</v>
      </c>
      <c r="T142" s="1" t="s">
        <v>38</v>
      </c>
      <c r="U142" s="1">
        <v>236</v>
      </c>
      <c r="V142" s="1" t="s">
        <v>85</v>
      </c>
      <c r="X142" s="1" t="s">
        <v>36</v>
      </c>
      <c r="Y142" s="1" t="s">
        <v>43</v>
      </c>
      <c r="Z142" s="9">
        <v>0</v>
      </c>
      <c r="AA142" s="9">
        <v>61671.17</v>
      </c>
      <c r="AB142" s="9">
        <v>67500.289999999994</v>
      </c>
      <c r="AC142" s="9">
        <v>0</v>
      </c>
      <c r="AD142" s="9">
        <v>67500.289999999994</v>
      </c>
      <c r="AE142" s="9">
        <v>0</v>
      </c>
      <c r="AF142" s="9">
        <v>0</v>
      </c>
      <c r="AG142" s="9">
        <v>61671.17</v>
      </c>
      <c r="AH142" s="9">
        <v>0</v>
      </c>
      <c r="AI142" s="9">
        <v>0</v>
      </c>
      <c r="AJ142" s="11">
        <v>1</v>
      </c>
    </row>
    <row r="143" spans="1:36" hidden="1" x14ac:dyDescent="0.3">
      <c r="A143" s="1" t="s">
        <v>142</v>
      </c>
      <c r="B143" s="1">
        <v>217985</v>
      </c>
      <c r="C143" s="1"/>
      <c r="D143" s="1" t="s">
        <v>140</v>
      </c>
      <c r="E143" s="7" t="s">
        <v>45</v>
      </c>
      <c r="F143" s="7" t="s">
        <v>41</v>
      </c>
      <c r="G143" s="8">
        <f>SUM(Tabela1[[#This Row],[Total em Romaneio]],Tabela1[[#This Row],[Saldo Despacho]])/Tabela1[[#This Row],[Total do Pedido]]</f>
        <v>0</v>
      </c>
      <c r="H143" s="42">
        <f>SUM(Tabela1[[#This Row],[Total em Romaneio]],Tabela1[[#This Row],[Saldo Despacho]])</f>
        <v>0</v>
      </c>
      <c r="I143" s="9">
        <v>59027.41</v>
      </c>
      <c r="J143" s="10">
        <v>46167</v>
      </c>
      <c r="K143" s="2"/>
      <c r="L143" s="8">
        <f>Tabela1[[#This Row],[Saldo Pedido]]/Tabela1[[#This Row],[Total do Pedido]]</f>
        <v>1</v>
      </c>
      <c r="M143" s="8">
        <f>Tabela1[[#This Row],[Total Despachado]]/Tabela1[[#This Row],[Total do Pedido]]</f>
        <v>0</v>
      </c>
      <c r="N143" s="2">
        <v>46156</v>
      </c>
      <c r="O143" s="2"/>
      <c r="P143" s="2"/>
      <c r="S143" s="1" t="s">
        <v>31</v>
      </c>
      <c r="T143" s="1" t="s">
        <v>38</v>
      </c>
      <c r="U143" s="1">
        <v>12</v>
      </c>
      <c r="V143" s="1" t="s">
        <v>141</v>
      </c>
      <c r="W143" s="1" t="s">
        <v>62</v>
      </c>
      <c r="X143" s="1" t="s">
        <v>42</v>
      </c>
      <c r="Y143" s="1" t="s">
        <v>105</v>
      </c>
      <c r="Z143" s="9">
        <v>0</v>
      </c>
      <c r="AA143" s="9">
        <v>59027.41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59027.41</v>
      </c>
      <c r="AH143" s="9">
        <v>0</v>
      </c>
      <c r="AI143" s="9">
        <v>0</v>
      </c>
      <c r="AJ143" s="11">
        <v>1</v>
      </c>
    </row>
    <row r="144" spans="1:36" hidden="1" x14ac:dyDescent="0.3">
      <c r="A144" s="1" t="s">
        <v>165</v>
      </c>
      <c r="B144" s="1">
        <v>218413</v>
      </c>
      <c r="C144" s="1"/>
      <c r="D144" s="1" t="s">
        <v>168</v>
      </c>
      <c r="E144" s="7" t="s">
        <v>91</v>
      </c>
      <c r="F144" s="7" t="s">
        <v>91</v>
      </c>
      <c r="G144" s="8">
        <f>SUM(Tabela1[[#This Row],[Total em Romaneio]],Tabela1[[#This Row],[Saldo Despacho]])/Tabela1[[#This Row],[Total do Pedido]]</f>
        <v>0</v>
      </c>
      <c r="H144" s="42">
        <f>SUM(Tabela1[[#This Row],[Total em Romaneio]],Tabela1[[#This Row],[Saldo Despacho]])</f>
        <v>0</v>
      </c>
      <c r="I144" s="9">
        <v>47319.97</v>
      </c>
      <c r="J144" s="10">
        <v>46176</v>
      </c>
      <c r="K144" s="2"/>
      <c r="L144" s="8">
        <f>Tabela1[[#This Row],[Saldo Pedido]]/Tabela1[[#This Row],[Total do Pedido]]</f>
        <v>1</v>
      </c>
      <c r="M144" s="8">
        <f>Tabela1[[#This Row],[Total Despachado]]/Tabela1[[#This Row],[Total do Pedido]]</f>
        <v>0</v>
      </c>
      <c r="N144" s="2">
        <v>46171</v>
      </c>
      <c r="O144" s="2"/>
      <c r="P144" s="2"/>
      <c r="S144" s="1" t="s">
        <v>66</v>
      </c>
      <c r="T144" s="1" t="s">
        <v>32</v>
      </c>
      <c r="U144" s="1">
        <v>12</v>
      </c>
      <c r="V144" s="1" t="s">
        <v>39</v>
      </c>
      <c r="W144" s="1" t="s">
        <v>35</v>
      </c>
      <c r="X144" s="1" t="s">
        <v>42</v>
      </c>
      <c r="Y144" s="1" t="s">
        <v>105</v>
      </c>
      <c r="Z144" s="9">
        <v>0</v>
      </c>
      <c r="AA144" s="9">
        <v>47319.97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47319.97</v>
      </c>
      <c r="AH144" s="9">
        <v>0</v>
      </c>
      <c r="AI144" s="9">
        <v>0</v>
      </c>
      <c r="AJ144" s="11">
        <v>1</v>
      </c>
    </row>
    <row r="145" spans="1:36" hidden="1" x14ac:dyDescent="0.3">
      <c r="A145" s="1" t="s">
        <v>102</v>
      </c>
      <c r="B145" s="1">
        <v>217220</v>
      </c>
      <c r="C145" s="1"/>
      <c r="D145" s="1" t="s">
        <v>56</v>
      </c>
      <c r="E145" s="7" t="s">
        <v>86</v>
      </c>
      <c r="F145" s="7" t="s">
        <v>87</v>
      </c>
      <c r="G145" s="8">
        <f>SUM(Tabela1[[#This Row],[Total em Romaneio]],Tabela1[[#This Row],[Saldo Despacho]])/Tabela1[[#This Row],[Total do Pedido]]</f>
        <v>0</v>
      </c>
      <c r="H145" s="42">
        <f>SUM(Tabela1[[#This Row],[Total em Romaneio]],Tabela1[[#This Row],[Saldo Despacho]])</f>
        <v>0</v>
      </c>
      <c r="I145" s="9">
        <v>42461.56</v>
      </c>
      <c r="J145" s="10">
        <v>46132</v>
      </c>
      <c r="K145" s="2"/>
      <c r="L145" s="8">
        <f>Tabela1[[#This Row],[Saldo Pedido]]/Tabela1[[#This Row],[Total do Pedido]]</f>
        <v>1</v>
      </c>
      <c r="M145" s="8">
        <f>Tabela1[[#This Row],[Total Despachado]]/Tabela1[[#This Row],[Total do Pedido]]</f>
        <v>0</v>
      </c>
      <c r="N145" s="2">
        <v>46128</v>
      </c>
      <c r="O145" s="2">
        <v>46128</v>
      </c>
      <c r="P145" s="2"/>
      <c r="S145" s="1" t="s">
        <v>44</v>
      </c>
      <c r="T145" s="1" t="s">
        <v>32</v>
      </c>
      <c r="U145" s="1">
        <v>236</v>
      </c>
      <c r="V145" s="1" t="s">
        <v>85</v>
      </c>
      <c r="W145" s="1" t="s">
        <v>35</v>
      </c>
      <c r="X145" s="1" t="s">
        <v>58</v>
      </c>
      <c r="Y145" s="1" t="s">
        <v>43</v>
      </c>
      <c r="Z145" s="9">
        <v>0</v>
      </c>
      <c r="AA145" s="9">
        <v>42461.56</v>
      </c>
      <c r="AB145" s="9">
        <v>47250</v>
      </c>
      <c r="AC145" s="9">
        <v>47250</v>
      </c>
      <c r="AD145" s="9">
        <v>0</v>
      </c>
      <c r="AE145" s="9">
        <v>0</v>
      </c>
      <c r="AF145" s="9">
        <v>0</v>
      </c>
      <c r="AG145" s="9">
        <v>42461.56</v>
      </c>
      <c r="AH145" s="9">
        <v>0</v>
      </c>
      <c r="AI145" s="9">
        <v>0</v>
      </c>
      <c r="AJ145" s="11">
        <v>1</v>
      </c>
    </row>
    <row r="146" spans="1:36" hidden="1" x14ac:dyDescent="0.3">
      <c r="A146" s="1" t="s">
        <v>117</v>
      </c>
      <c r="B146" s="1">
        <v>217221</v>
      </c>
      <c r="C146" s="1"/>
      <c r="D146" s="1" t="s">
        <v>56</v>
      </c>
      <c r="E146" s="7" t="s">
        <v>86</v>
      </c>
      <c r="F146" s="7" t="s">
        <v>87</v>
      </c>
      <c r="G146" s="8">
        <f>SUM(Tabela1[[#This Row],[Total em Romaneio]],Tabela1[[#This Row],[Saldo Despacho]])/Tabela1[[#This Row],[Total do Pedido]]</f>
        <v>0</v>
      </c>
      <c r="H146" s="42">
        <f>SUM(Tabela1[[#This Row],[Total em Romaneio]],Tabela1[[#This Row],[Saldo Despacho]])</f>
        <v>0</v>
      </c>
      <c r="I146" s="9">
        <v>42461.56</v>
      </c>
      <c r="J146" s="10">
        <v>46132</v>
      </c>
      <c r="K146" s="2"/>
      <c r="L146" s="8">
        <f>Tabela1[[#This Row],[Saldo Pedido]]/Tabela1[[#This Row],[Total do Pedido]]</f>
        <v>1</v>
      </c>
      <c r="M146" s="8">
        <f>Tabela1[[#This Row],[Total Despachado]]/Tabela1[[#This Row],[Total do Pedido]]</f>
        <v>0</v>
      </c>
      <c r="N146" s="2">
        <v>46128</v>
      </c>
      <c r="O146" s="2">
        <v>46129</v>
      </c>
      <c r="P146" s="2"/>
      <c r="S146" s="1" t="s">
        <v>44</v>
      </c>
      <c r="T146" s="1" t="s">
        <v>32</v>
      </c>
      <c r="U146" s="1">
        <v>236</v>
      </c>
      <c r="V146" s="1" t="s">
        <v>85</v>
      </c>
      <c r="W146" s="1" t="s">
        <v>35</v>
      </c>
      <c r="X146" s="1" t="s">
        <v>58</v>
      </c>
      <c r="Y146" s="1" t="s">
        <v>43</v>
      </c>
      <c r="Z146" s="9">
        <v>0</v>
      </c>
      <c r="AA146" s="9">
        <v>42461.56</v>
      </c>
      <c r="AB146" s="9">
        <v>47250</v>
      </c>
      <c r="AC146" s="9">
        <v>47250</v>
      </c>
      <c r="AD146" s="9">
        <v>0</v>
      </c>
      <c r="AE146" s="9">
        <v>0</v>
      </c>
      <c r="AF146" s="9">
        <v>0</v>
      </c>
      <c r="AG146" s="9">
        <v>42461.56</v>
      </c>
      <c r="AH146" s="9">
        <v>0</v>
      </c>
      <c r="AI146" s="9">
        <v>0</v>
      </c>
      <c r="AJ146" s="11">
        <v>1</v>
      </c>
    </row>
    <row r="147" spans="1:36" hidden="1" x14ac:dyDescent="0.3">
      <c r="A147" s="1" t="s">
        <v>117</v>
      </c>
      <c r="B147" s="1">
        <v>216774</v>
      </c>
      <c r="C147" s="1"/>
      <c r="D147" s="1" t="s">
        <v>56</v>
      </c>
      <c r="E147" s="7" t="s">
        <v>86</v>
      </c>
      <c r="F147" s="7" t="s">
        <v>87</v>
      </c>
      <c r="G147" s="8">
        <f>SUM(Tabela1[[#This Row],[Total em Romaneio]],Tabela1[[#This Row],[Saldo Despacho]])/Tabela1[[#This Row],[Total do Pedido]]</f>
        <v>0</v>
      </c>
      <c r="H147" s="42">
        <f>SUM(Tabela1[[#This Row],[Total em Romaneio]],Tabela1[[#This Row],[Saldo Despacho]])</f>
        <v>0</v>
      </c>
      <c r="I147" s="9">
        <v>41927.78</v>
      </c>
      <c r="J147" s="10">
        <v>46129</v>
      </c>
      <c r="K147" s="2"/>
      <c r="L147" s="8">
        <f>Tabela1[[#This Row],[Saldo Pedido]]/Tabela1[[#This Row],[Total do Pedido]]</f>
        <v>0.96780177724649386</v>
      </c>
      <c r="M147" s="8">
        <f>Tabela1[[#This Row],[Total Despachado]]/Tabela1[[#This Row],[Total do Pedido]]</f>
        <v>3.2198222753506152E-2</v>
      </c>
      <c r="N147" s="2">
        <v>46119</v>
      </c>
      <c r="O147" s="2">
        <v>46119</v>
      </c>
      <c r="P147" s="2"/>
      <c r="S147" s="1" t="s">
        <v>44</v>
      </c>
      <c r="T147" s="1" t="s">
        <v>115</v>
      </c>
      <c r="U147" s="1">
        <v>236</v>
      </c>
      <c r="V147" s="1" t="s">
        <v>85</v>
      </c>
      <c r="W147" s="1" t="s">
        <v>35</v>
      </c>
      <c r="X147" s="1" t="s">
        <v>58</v>
      </c>
      <c r="Y147" s="1" t="s">
        <v>43</v>
      </c>
      <c r="Z147" s="9">
        <v>1350</v>
      </c>
      <c r="AA147" s="9">
        <v>40577.78</v>
      </c>
      <c r="AB147" s="9">
        <v>42098.5</v>
      </c>
      <c r="AC147" s="9">
        <v>42098.5</v>
      </c>
      <c r="AD147" s="9">
        <v>0</v>
      </c>
      <c r="AE147" s="9">
        <v>0</v>
      </c>
      <c r="AF147" s="9">
        <v>1350</v>
      </c>
      <c r="AG147" s="9">
        <v>40577.78</v>
      </c>
      <c r="AH147" s="9">
        <v>1350</v>
      </c>
      <c r="AI147" s="9">
        <v>0</v>
      </c>
      <c r="AJ147" s="11">
        <v>1</v>
      </c>
    </row>
    <row r="148" spans="1:36" hidden="1" x14ac:dyDescent="0.3">
      <c r="A148" s="1" t="s">
        <v>59</v>
      </c>
      <c r="B148" s="1">
        <v>218192</v>
      </c>
      <c r="C148" s="1">
        <v>114286</v>
      </c>
      <c r="D148" s="1" t="s">
        <v>60</v>
      </c>
      <c r="E148" s="7" t="s">
        <v>34</v>
      </c>
      <c r="F148" s="7" t="s">
        <v>41</v>
      </c>
      <c r="G148" s="8">
        <f>SUM(Tabela1[[#This Row],[Total em Romaneio]],Tabela1[[#This Row],[Saldo Despacho]])/Tabela1[[#This Row],[Total do Pedido]]</f>
        <v>0</v>
      </c>
      <c r="H148" s="42">
        <f>SUM(Tabela1[[#This Row],[Total em Romaneio]],Tabela1[[#This Row],[Saldo Despacho]])</f>
        <v>0</v>
      </c>
      <c r="I148" s="9">
        <v>37546.589999999997</v>
      </c>
      <c r="J148" s="10">
        <v>46174</v>
      </c>
      <c r="K148" s="2"/>
      <c r="L148" s="8">
        <f>Tabela1[[#This Row],[Saldo Pedido]]/Tabela1[[#This Row],[Total do Pedido]]</f>
        <v>0.11134806116880389</v>
      </c>
      <c r="M148" s="8">
        <f>Tabela1[[#This Row],[Total Despachado]]/Tabela1[[#This Row],[Total do Pedido]]</f>
        <v>0.92707806487886135</v>
      </c>
      <c r="N148" s="2">
        <v>46163</v>
      </c>
      <c r="O148" s="2">
        <v>46167</v>
      </c>
      <c r="P148" s="2"/>
      <c r="Q148" s="10">
        <v>46171</v>
      </c>
      <c r="S148" s="1" t="s">
        <v>31</v>
      </c>
      <c r="T148" s="1" t="s">
        <v>32</v>
      </c>
      <c r="U148" s="1">
        <v>12</v>
      </c>
      <c r="V148" s="1" t="s">
        <v>33</v>
      </c>
      <c r="W148" s="1" t="s">
        <v>35</v>
      </c>
      <c r="X148" s="1" t="s">
        <v>52</v>
      </c>
      <c r="Y148" s="1" t="s">
        <v>43</v>
      </c>
      <c r="Z148" s="9">
        <v>33365.85</v>
      </c>
      <c r="AA148" s="9">
        <v>4180.74</v>
      </c>
      <c r="AB148" s="9">
        <v>10377.75</v>
      </c>
      <c r="AC148" s="9">
        <v>6692.55</v>
      </c>
      <c r="AD148" s="9">
        <v>3685.2</v>
      </c>
      <c r="AE148" s="9">
        <v>0</v>
      </c>
      <c r="AF148" s="9">
        <v>34808.620000000003</v>
      </c>
      <c r="AG148" s="9">
        <v>2737.97</v>
      </c>
      <c r="AH148" s="9">
        <v>34808.620000000003</v>
      </c>
      <c r="AI148" s="9">
        <v>0</v>
      </c>
      <c r="AJ148" s="11">
        <v>1</v>
      </c>
    </row>
    <row r="149" spans="1:36" hidden="1" x14ac:dyDescent="0.3">
      <c r="A149" s="1" t="s">
        <v>59</v>
      </c>
      <c r="B149" s="1">
        <v>218331</v>
      </c>
      <c r="C149" s="1">
        <v>114287</v>
      </c>
      <c r="D149" s="1" t="s">
        <v>60</v>
      </c>
      <c r="E149" s="7" t="s">
        <v>34</v>
      </c>
      <c r="F149" s="7" t="s">
        <v>41</v>
      </c>
      <c r="G149" s="8">
        <f>SUM(Tabela1[[#This Row],[Total em Romaneio]],Tabela1[[#This Row],[Saldo Despacho]])/Tabela1[[#This Row],[Total do Pedido]]</f>
        <v>0</v>
      </c>
      <c r="H149" s="42">
        <f>SUM(Tabela1[[#This Row],[Total em Romaneio]],Tabela1[[#This Row],[Saldo Despacho]])</f>
        <v>0</v>
      </c>
      <c r="I149" s="9">
        <v>35487.050000000003</v>
      </c>
      <c r="J149" s="10">
        <v>46179</v>
      </c>
      <c r="K149" s="2"/>
      <c r="L149" s="8">
        <f>Tabela1[[#This Row],[Saldo Pedido]]/Tabela1[[#This Row],[Total do Pedido]]</f>
        <v>1</v>
      </c>
      <c r="M149" s="8">
        <f>Tabela1[[#This Row],[Total Despachado]]/Tabela1[[#This Row],[Total do Pedido]]</f>
        <v>0</v>
      </c>
      <c r="N149" s="2">
        <v>46169</v>
      </c>
      <c r="O149" s="2"/>
      <c r="P149" s="2"/>
      <c r="S149" s="1" t="s">
        <v>31</v>
      </c>
      <c r="T149" s="1" t="s">
        <v>32</v>
      </c>
      <c r="U149" s="1">
        <v>12</v>
      </c>
      <c r="V149" s="1" t="s">
        <v>33</v>
      </c>
      <c r="W149" s="1" t="s">
        <v>35</v>
      </c>
      <c r="X149" s="1" t="s">
        <v>42</v>
      </c>
      <c r="Y149" s="1" t="s">
        <v>105</v>
      </c>
      <c r="Z149" s="9">
        <v>0</v>
      </c>
      <c r="AA149" s="9">
        <v>35487.050000000003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35487.050000000003</v>
      </c>
      <c r="AH149" s="9">
        <v>0</v>
      </c>
      <c r="AI149" s="9">
        <v>0</v>
      </c>
      <c r="AJ149" s="11">
        <v>1</v>
      </c>
    </row>
    <row r="150" spans="1:36" hidden="1" x14ac:dyDescent="0.3">
      <c r="A150" s="1" t="s">
        <v>106</v>
      </c>
      <c r="B150" s="1">
        <v>216859</v>
      </c>
      <c r="C150" s="1"/>
      <c r="D150" s="1" t="s">
        <v>69</v>
      </c>
      <c r="E150" s="7" t="s">
        <v>86</v>
      </c>
      <c r="F150" s="7" t="s">
        <v>87</v>
      </c>
      <c r="G150" s="8">
        <f>SUM(Tabela1[[#This Row],[Total em Romaneio]],Tabela1[[#This Row],[Saldo Despacho]])/Tabela1[[#This Row],[Total do Pedido]]</f>
        <v>0</v>
      </c>
      <c r="H150" s="42">
        <f>SUM(Tabela1[[#This Row],[Total em Romaneio]],Tabela1[[#This Row],[Saldo Despacho]])</f>
        <v>0</v>
      </c>
      <c r="I150" s="9">
        <v>34428</v>
      </c>
      <c r="J150" s="10">
        <v>46120</v>
      </c>
      <c r="K150" s="2"/>
      <c r="L150" s="8">
        <f>Tabela1[[#This Row],[Saldo Pedido]]/Tabela1[[#This Row],[Total do Pedido]]</f>
        <v>3.1166492389915184E-3</v>
      </c>
      <c r="M150" s="8">
        <f>Tabela1[[#This Row],[Total Despachado]]/Tabela1[[#This Row],[Total do Pedido]]</f>
        <v>0.99688335076100842</v>
      </c>
      <c r="N150" s="2">
        <v>46120</v>
      </c>
      <c r="O150" s="2">
        <v>46120</v>
      </c>
      <c r="P150" s="2"/>
      <c r="Q150" s="10">
        <v>46137</v>
      </c>
      <c r="S150" s="1" t="s">
        <v>44</v>
      </c>
      <c r="T150" s="1" t="s">
        <v>115</v>
      </c>
      <c r="U150" s="1">
        <v>236</v>
      </c>
      <c r="V150" s="1" t="s">
        <v>39</v>
      </c>
      <c r="W150" s="1" t="s">
        <v>35</v>
      </c>
      <c r="X150" s="1" t="s">
        <v>36</v>
      </c>
      <c r="Y150" s="1" t="s">
        <v>43</v>
      </c>
      <c r="Z150" s="9">
        <v>34320.699999999997</v>
      </c>
      <c r="AA150" s="9">
        <v>107.3</v>
      </c>
      <c r="AB150" s="9">
        <v>27792</v>
      </c>
      <c r="AC150" s="9">
        <v>27705.38</v>
      </c>
      <c r="AD150" s="9">
        <v>86.62</v>
      </c>
      <c r="AE150" s="9">
        <v>0</v>
      </c>
      <c r="AF150" s="9">
        <v>34320.699999999997</v>
      </c>
      <c r="AG150" s="9">
        <v>107.3</v>
      </c>
      <c r="AH150" s="9">
        <v>34320.699999999997</v>
      </c>
      <c r="AI150" s="9">
        <v>0</v>
      </c>
      <c r="AJ150" s="11">
        <v>1</v>
      </c>
    </row>
    <row r="151" spans="1:36" hidden="1" x14ac:dyDescent="0.3">
      <c r="A151" s="1" t="s">
        <v>90</v>
      </c>
      <c r="B151" s="1">
        <v>217798</v>
      </c>
      <c r="C151" s="1"/>
      <c r="D151" s="1" t="s">
        <v>56</v>
      </c>
      <c r="E151" s="7" t="s">
        <v>86</v>
      </c>
      <c r="F151" s="7" t="s">
        <v>87</v>
      </c>
      <c r="G151" s="8">
        <f>SUM(Tabela1[[#This Row],[Total em Romaneio]],Tabela1[[#This Row],[Saldo Despacho]])/Tabela1[[#This Row],[Total do Pedido]]</f>
        <v>0</v>
      </c>
      <c r="H151" s="42">
        <f>SUM(Tabela1[[#This Row],[Total em Romaneio]],Tabela1[[#This Row],[Saldo Despacho]])</f>
        <v>0</v>
      </c>
      <c r="I151" s="9">
        <v>34000</v>
      </c>
      <c r="J151" s="10">
        <v>46158</v>
      </c>
      <c r="K151" s="2"/>
      <c r="L151" s="8">
        <f>Tabela1[[#This Row],[Saldo Pedido]]/Tabela1[[#This Row],[Total do Pedido]]</f>
        <v>1</v>
      </c>
      <c r="M151" s="8">
        <f>Tabela1[[#This Row],[Total Despachado]]/Tabela1[[#This Row],[Total do Pedido]]</f>
        <v>0</v>
      </c>
      <c r="N151" s="2">
        <v>46148</v>
      </c>
      <c r="O151" s="2">
        <v>46148</v>
      </c>
      <c r="P151" s="2"/>
      <c r="S151" s="1" t="s">
        <v>44</v>
      </c>
      <c r="T151" s="1" t="s">
        <v>115</v>
      </c>
      <c r="U151" s="1">
        <v>236</v>
      </c>
      <c r="V151" s="1" t="s">
        <v>85</v>
      </c>
      <c r="W151" s="1" t="s">
        <v>35</v>
      </c>
      <c r="X151" s="1" t="s">
        <v>58</v>
      </c>
      <c r="Y151" s="1" t="s">
        <v>43</v>
      </c>
      <c r="Z151" s="9">
        <v>0</v>
      </c>
      <c r="AA151" s="9">
        <v>34000</v>
      </c>
      <c r="AB151" s="9">
        <v>34000</v>
      </c>
      <c r="AC151" s="9">
        <v>34000</v>
      </c>
      <c r="AD151" s="9">
        <v>0</v>
      </c>
      <c r="AE151" s="9">
        <v>0</v>
      </c>
      <c r="AF151" s="9">
        <v>0</v>
      </c>
      <c r="AG151" s="9">
        <v>34000</v>
      </c>
      <c r="AH151" s="9">
        <v>0</v>
      </c>
      <c r="AI151" s="9">
        <v>0</v>
      </c>
      <c r="AJ151" s="11">
        <v>1</v>
      </c>
    </row>
    <row r="152" spans="1:36" x14ac:dyDescent="0.3">
      <c r="A152" s="1" t="s">
        <v>64</v>
      </c>
      <c r="B152" s="1">
        <v>218266</v>
      </c>
      <c r="C152" s="1"/>
      <c r="D152" s="1" t="s">
        <v>65</v>
      </c>
      <c r="E152" s="7" t="s">
        <v>63</v>
      </c>
      <c r="F152" s="7" t="s">
        <v>41</v>
      </c>
      <c r="G152" s="8">
        <f>SUM(Tabela1[[#This Row],[Total em Romaneio]],Tabela1[[#This Row],[Saldo Despacho]])/Tabela1[[#This Row],[Total do Pedido]]</f>
        <v>0</v>
      </c>
      <c r="H152" s="42">
        <f>SUM(Tabela1[[#This Row],[Total em Romaneio]],Tabela1[[#This Row],[Saldo Despacho]])</f>
        <v>0</v>
      </c>
      <c r="I152" s="9">
        <v>33977.72</v>
      </c>
      <c r="J152" s="10">
        <v>46178</v>
      </c>
      <c r="K152" s="2"/>
      <c r="L152" s="8">
        <f>Tabela1[[#This Row],[Saldo Pedido]]/Tabela1[[#This Row],[Total do Pedido]]</f>
        <v>1</v>
      </c>
      <c r="M152" s="8">
        <f>Tabela1[[#This Row],[Total Despachado]]/Tabela1[[#This Row],[Total do Pedido]]</f>
        <v>0</v>
      </c>
      <c r="N152" s="2">
        <v>46168</v>
      </c>
      <c r="O152" s="2">
        <v>46169</v>
      </c>
      <c r="P152" s="2">
        <v>46178</v>
      </c>
      <c r="R152" s="10">
        <v>46178</v>
      </c>
      <c r="S152" s="1" t="s">
        <v>66</v>
      </c>
      <c r="T152" s="1" t="s">
        <v>32</v>
      </c>
      <c r="U152" s="1">
        <v>12</v>
      </c>
      <c r="V152" s="1" t="s">
        <v>49</v>
      </c>
      <c r="W152" s="1" t="s">
        <v>35</v>
      </c>
      <c r="X152" s="1" t="s">
        <v>58</v>
      </c>
      <c r="Y152" s="1" t="s">
        <v>43</v>
      </c>
      <c r="Z152" s="9">
        <v>0</v>
      </c>
      <c r="AA152" s="9">
        <v>33977.72</v>
      </c>
      <c r="AB152" s="9">
        <v>17587.2</v>
      </c>
      <c r="AC152" s="9">
        <v>17587.2</v>
      </c>
      <c r="AD152" s="9">
        <v>0</v>
      </c>
      <c r="AE152" s="9">
        <v>0</v>
      </c>
      <c r="AF152" s="9">
        <v>0</v>
      </c>
      <c r="AG152" s="9">
        <v>33977.72</v>
      </c>
      <c r="AH152" s="9">
        <v>0</v>
      </c>
      <c r="AI152" s="9">
        <v>0</v>
      </c>
      <c r="AJ152" s="11">
        <v>1</v>
      </c>
    </row>
    <row r="153" spans="1:36" hidden="1" x14ac:dyDescent="0.3">
      <c r="A153" s="1" t="s">
        <v>59</v>
      </c>
      <c r="B153" s="1">
        <v>217555</v>
      </c>
      <c r="C153" s="1"/>
      <c r="D153" s="1" t="s">
        <v>60</v>
      </c>
      <c r="E153" s="7" t="s">
        <v>34</v>
      </c>
      <c r="F153" s="7" t="s">
        <v>41</v>
      </c>
      <c r="G153" s="8">
        <f>SUM(Tabela1[[#This Row],[Total em Romaneio]],Tabela1[[#This Row],[Saldo Despacho]])/Tabela1[[#This Row],[Total do Pedido]]</f>
        <v>0</v>
      </c>
      <c r="H153" s="42">
        <f>SUM(Tabela1[[#This Row],[Total em Romaneio]],Tabela1[[#This Row],[Saldo Despacho]])</f>
        <v>0</v>
      </c>
      <c r="I153" s="9">
        <v>32400</v>
      </c>
      <c r="J153" s="10">
        <v>46165</v>
      </c>
      <c r="K153" s="2"/>
      <c r="L153" s="8">
        <f>Tabela1[[#This Row],[Saldo Pedido]]/Tabela1[[#This Row],[Total do Pedido]]</f>
        <v>1</v>
      </c>
      <c r="M153" s="8">
        <f>Tabela1[[#This Row],[Total Despachado]]/Tabela1[[#This Row],[Total do Pedido]]</f>
        <v>0</v>
      </c>
      <c r="N153" s="2">
        <v>46141</v>
      </c>
      <c r="O153" s="2">
        <v>46142</v>
      </c>
      <c r="P153" s="2">
        <v>46153</v>
      </c>
      <c r="R153" s="10">
        <v>46171</v>
      </c>
      <c r="S153" s="1" t="s">
        <v>31</v>
      </c>
      <c r="T153" s="1" t="s">
        <v>38</v>
      </c>
      <c r="U153" s="1">
        <v>12</v>
      </c>
      <c r="V153" s="1" t="s">
        <v>49</v>
      </c>
      <c r="W153" s="1" t="s">
        <v>35</v>
      </c>
      <c r="X153" s="1" t="s">
        <v>36</v>
      </c>
      <c r="Y153" s="1" t="s">
        <v>43</v>
      </c>
      <c r="Z153" s="9">
        <v>0</v>
      </c>
      <c r="AA153" s="9">
        <v>32400</v>
      </c>
      <c r="AB153" s="9">
        <v>79897.2</v>
      </c>
      <c r="AC153" s="9">
        <v>57567.6</v>
      </c>
      <c r="AD153" s="9">
        <v>22329.599999999999</v>
      </c>
      <c r="AE153" s="9">
        <v>0</v>
      </c>
      <c r="AF153" s="9">
        <v>0</v>
      </c>
      <c r="AG153" s="9">
        <v>32400</v>
      </c>
      <c r="AH153" s="9">
        <v>0</v>
      </c>
      <c r="AI153" s="9">
        <v>0</v>
      </c>
      <c r="AJ153" s="11">
        <v>1</v>
      </c>
    </row>
    <row r="154" spans="1:36" hidden="1" x14ac:dyDescent="0.3">
      <c r="A154" s="1" t="s">
        <v>117</v>
      </c>
      <c r="B154" s="1">
        <v>217867</v>
      </c>
      <c r="C154" s="1"/>
      <c r="D154" s="1" t="s">
        <v>56</v>
      </c>
      <c r="E154" s="7" t="s">
        <v>86</v>
      </c>
      <c r="F154" s="7" t="s">
        <v>87</v>
      </c>
      <c r="G154" s="8">
        <f>SUM(Tabela1[[#This Row],[Total em Romaneio]],Tabela1[[#This Row],[Saldo Despacho]])/Tabela1[[#This Row],[Total do Pedido]]</f>
        <v>0</v>
      </c>
      <c r="H154" s="42">
        <f>SUM(Tabela1[[#This Row],[Total em Romaneio]],Tabela1[[#This Row],[Saldo Despacho]])</f>
        <v>0</v>
      </c>
      <c r="I154" s="9">
        <v>31872</v>
      </c>
      <c r="J154" s="10">
        <v>46163</v>
      </c>
      <c r="K154" s="2"/>
      <c r="L154" s="8">
        <f>Tabela1[[#This Row],[Saldo Pedido]]/Tabela1[[#This Row],[Total do Pedido]]</f>
        <v>3.614457831325301E-2</v>
      </c>
      <c r="M154" s="8">
        <f>Tabela1[[#This Row],[Total Despachado]]/Tabela1[[#This Row],[Total do Pedido]]</f>
        <v>0.96385542168674698</v>
      </c>
      <c r="N154" s="2">
        <v>46066</v>
      </c>
      <c r="O154" s="2">
        <v>46154</v>
      </c>
      <c r="P154" s="2"/>
      <c r="Q154" s="10">
        <v>46163</v>
      </c>
      <c r="S154" s="1" t="s">
        <v>44</v>
      </c>
      <c r="T154" s="1" t="s">
        <v>115</v>
      </c>
      <c r="U154" s="1">
        <v>236</v>
      </c>
      <c r="V154" s="1" t="s">
        <v>85</v>
      </c>
      <c r="W154" s="1" t="s">
        <v>35</v>
      </c>
      <c r="X154" s="1" t="s">
        <v>51</v>
      </c>
      <c r="Y154" s="1" t="s">
        <v>43</v>
      </c>
      <c r="Z154" s="9">
        <v>30720</v>
      </c>
      <c r="AA154" s="9">
        <v>1152</v>
      </c>
      <c r="AB154" s="9">
        <v>34860</v>
      </c>
      <c r="AC154" s="9">
        <v>33600</v>
      </c>
      <c r="AD154" s="9">
        <v>1260</v>
      </c>
      <c r="AE154" s="9">
        <v>0</v>
      </c>
      <c r="AF154" s="9">
        <v>30720</v>
      </c>
      <c r="AG154" s="9">
        <v>1152</v>
      </c>
      <c r="AH154" s="9">
        <v>30720</v>
      </c>
      <c r="AI154" s="9">
        <v>0</v>
      </c>
      <c r="AJ154" s="11">
        <v>1</v>
      </c>
    </row>
    <row r="155" spans="1:36" hidden="1" x14ac:dyDescent="0.3">
      <c r="A155" s="1" t="s">
        <v>106</v>
      </c>
      <c r="B155" s="1">
        <v>218090</v>
      </c>
      <c r="C155" s="1"/>
      <c r="D155" s="1" t="s">
        <v>69</v>
      </c>
      <c r="E155" s="7" t="s">
        <v>86</v>
      </c>
      <c r="F155" s="7" t="s">
        <v>87</v>
      </c>
      <c r="G155" s="8">
        <f>SUM(Tabela1[[#This Row],[Total em Romaneio]],Tabela1[[#This Row],[Saldo Despacho]])/Tabela1[[#This Row],[Total do Pedido]]</f>
        <v>0</v>
      </c>
      <c r="H155" s="42">
        <f>SUM(Tabela1[[#This Row],[Total em Romaneio]],Tabela1[[#This Row],[Saldo Despacho]])</f>
        <v>0</v>
      </c>
      <c r="I155" s="9">
        <v>31500</v>
      </c>
      <c r="J155" s="10">
        <v>46170</v>
      </c>
      <c r="K155" s="2"/>
      <c r="L155" s="8">
        <f>Tabela1[[#This Row],[Saldo Pedido]]/Tabela1[[#This Row],[Total do Pedido]]</f>
        <v>1</v>
      </c>
      <c r="M155" s="8">
        <f>Tabela1[[#This Row],[Total Despachado]]/Tabela1[[#This Row],[Total do Pedido]]</f>
        <v>0</v>
      </c>
      <c r="N155" s="2">
        <v>46160</v>
      </c>
      <c r="O155" s="2">
        <v>46160</v>
      </c>
      <c r="P155" s="2">
        <v>46170</v>
      </c>
      <c r="R155" s="10">
        <v>46188</v>
      </c>
      <c r="S155" s="1" t="s">
        <v>44</v>
      </c>
      <c r="T155" s="1" t="s">
        <v>115</v>
      </c>
      <c r="U155" s="1">
        <v>236</v>
      </c>
      <c r="V155" s="1" t="s">
        <v>85</v>
      </c>
      <c r="W155" s="1" t="s">
        <v>35</v>
      </c>
      <c r="X155" s="1" t="s">
        <v>58</v>
      </c>
      <c r="Y155" s="1" t="s">
        <v>43</v>
      </c>
      <c r="Z155" s="9">
        <v>0</v>
      </c>
      <c r="AA155" s="9">
        <v>31500</v>
      </c>
      <c r="AB155" s="9">
        <v>31500</v>
      </c>
      <c r="AC155" s="9">
        <v>31500</v>
      </c>
      <c r="AD155" s="9">
        <v>0</v>
      </c>
      <c r="AE155" s="9">
        <v>0</v>
      </c>
      <c r="AF155" s="9">
        <v>0</v>
      </c>
      <c r="AG155" s="9">
        <v>31500</v>
      </c>
      <c r="AH155" s="9">
        <v>0</v>
      </c>
      <c r="AI155" s="9">
        <v>0</v>
      </c>
      <c r="AJ155" s="11">
        <v>1</v>
      </c>
    </row>
    <row r="156" spans="1:36" hidden="1" x14ac:dyDescent="0.3">
      <c r="A156" s="1" t="s">
        <v>166</v>
      </c>
      <c r="B156" s="1">
        <v>218373</v>
      </c>
      <c r="C156" s="1"/>
      <c r="D156" s="1" t="s">
        <v>169</v>
      </c>
      <c r="E156" s="7" t="s">
        <v>78</v>
      </c>
      <c r="F156" s="7" t="s">
        <v>41</v>
      </c>
      <c r="G156" s="8">
        <f>SUM(Tabela1[[#This Row],[Total em Romaneio]],Tabela1[[#This Row],[Saldo Despacho]])/Tabela1[[#This Row],[Total do Pedido]]</f>
        <v>0</v>
      </c>
      <c r="H156" s="42">
        <f>SUM(Tabela1[[#This Row],[Total em Romaneio]],Tabela1[[#This Row],[Saldo Despacho]])</f>
        <v>0</v>
      </c>
      <c r="I156" s="9">
        <v>30836.57</v>
      </c>
      <c r="J156" s="10">
        <v>46171</v>
      </c>
      <c r="K156" s="2"/>
      <c r="L156" s="8">
        <f>Tabela1[[#This Row],[Saldo Pedido]]/Tabela1[[#This Row],[Total do Pedido]]</f>
        <v>1</v>
      </c>
      <c r="M156" s="8">
        <f>Tabela1[[#This Row],[Total Despachado]]/Tabela1[[#This Row],[Total do Pedido]]</f>
        <v>0</v>
      </c>
      <c r="N156" s="2">
        <v>46171</v>
      </c>
      <c r="O156" s="2">
        <v>46171</v>
      </c>
      <c r="P156" s="2">
        <v>46171</v>
      </c>
      <c r="R156" s="10">
        <v>46174</v>
      </c>
      <c r="S156" s="1" t="s">
        <v>48</v>
      </c>
      <c r="T156" s="1" t="s">
        <v>32</v>
      </c>
      <c r="U156" s="1">
        <v>12</v>
      </c>
      <c r="V156" s="1" t="s">
        <v>39</v>
      </c>
      <c r="W156" s="1" t="s">
        <v>35</v>
      </c>
      <c r="X156" s="1" t="s">
        <v>58</v>
      </c>
      <c r="Y156" s="1" t="s">
        <v>43</v>
      </c>
      <c r="Z156" s="9">
        <v>0</v>
      </c>
      <c r="AA156" s="9">
        <v>30836.57</v>
      </c>
      <c r="AB156" s="9">
        <v>14124.24</v>
      </c>
      <c r="AC156" s="9">
        <v>14124.24</v>
      </c>
      <c r="AD156" s="9">
        <v>0</v>
      </c>
      <c r="AE156" s="9">
        <v>0</v>
      </c>
      <c r="AF156" s="9">
        <v>0</v>
      </c>
      <c r="AG156" s="9">
        <v>30836.57</v>
      </c>
      <c r="AH156" s="9">
        <v>0</v>
      </c>
      <c r="AI156" s="9">
        <v>0</v>
      </c>
      <c r="AJ156" s="11">
        <v>1</v>
      </c>
    </row>
    <row r="157" spans="1:36" hidden="1" x14ac:dyDescent="0.3">
      <c r="A157" s="1" t="s">
        <v>59</v>
      </c>
      <c r="B157" s="1">
        <v>218190</v>
      </c>
      <c r="C157" s="1">
        <v>114285</v>
      </c>
      <c r="D157" s="1" t="s">
        <v>60</v>
      </c>
      <c r="E157" s="7" t="s">
        <v>34</v>
      </c>
      <c r="F157" s="7" t="s">
        <v>41</v>
      </c>
      <c r="G157" s="8">
        <f>SUM(Tabela1[[#This Row],[Total em Romaneio]],Tabela1[[#This Row],[Saldo Despacho]])/Tabela1[[#This Row],[Total do Pedido]]</f>
        <v>0</v>
      </c>
      <c r="H157" s="42">
        <f>SUM(Tabela1[[#This Row],[Total em Romaneio]],Tabela1[[#This Row],[Saldo Despacho]])</f>
        <v>0</v>
      </c>
      <c r="I157" s="9">
        <v>30477</v>
      </c>
      <c r="J157" s="10">
        <v>46174</v>
      </c>
      <c r="K157" s="2"/>
      <c r="L157" s="8">
        <f>Tabela1[[#This Row],[Saldo Pedido]]/Tabela1[[#This Row],[Total do Pedido]]</f>
        <v>5.1553302490402603E-2</v>
      </c>
      <c r="M157" s="8">
        <f>Tabela1[[#This Row],[Total Despachado]]/Tabela1[[#This Row],[Total do Pedido]]</f>
        <v>0.94844669750959743</v>
      </c>
      <c r="N157" s="2">
        <v>46163</v>
      </c>
      <c r="O157" s="2">
        <v>46167</v>
      </c>
      <c r="P157" s="2"/>
      <c r="Q157" s="10">
        <v>46171</v>
      </c>
      <c r="S157" s="1" t="s">
        <v>31</v>
      </c>
      <c r="T157" s="1" t="s">
        <v>32</v>
      </c>
      <c r="U157" s="1">
        <v>12</v>
      </c>
      <c r="V157" s="1" t="s">
        <v>33</v>
      </c>
      <c r="W157" s="1" t="s">
        <v>35</v>
      </c>
      <c r="X157" s="1" t="s">
        <v>52</v>
      </c>
      <c r="Y157" s="1" t="s">
        <v>43</v>
      </c>
      <c r="Z157" s="9">
        <v>28905.81</v>
      </c>
      <c r="AA157" s="9">
        <v>1571.19</v>
      </c>
      <c r="AB157" s="9">
        <v>2144.91</v>
      </c>
      <c r="AC157" s="9">
        <v>2052.75</v>
      </c>
      <c r="AD157" s="9">
        <v>92.16</v>
      </c>
      <c r="AE157" s="9">
        <v>0</v>
      </c>
      <c r="AF157" s="9">
        <v>28905.81</v>
      </c>
      <c r="AG157" s="9">
        <v>1571.19</v>
      </c>
      <c r="AH157" s="9">
        <v>28905.81</v>
      </c>
      <c r="AI157" s="9">
        <v>0</v>
      </c>
      <c r="AJ157" s="11">
        <v>1</v>
      </c>
    </row>
    <row r="158" spans="1:36" hidden="1" x14ac:dyDescent="0.3">
      <c r="A158" s="1" t="s">
        <v>83</v>
      </c>
      <c r="B158" s="1">
        <v>218277</v>
      </c>
      <c r="C158" s="1"/>
      <c r="D158" s="1" t="s">
        <v>84</v>
      </c>
      <c r="E158" s="7" t="s">
        <v>63</v>
      </c>
      <c r="F158" s="7" t="s">
        <v>41</v>
      </c>
      <c r="G158" s="8">
        <f>SUM(Tabela1[[#This Row],[Total em Romaneio]],Tabela1[[#This Row],[Saldo Despacho]])/Tabela1[[#This Row],[Total do Pedido]]</f>
        <v>0.58857142857142852</v>
      </c>
      <c r="H158" s="42">
        <f>SUM(Tabela1[[#This Row],[Total em Romaneio]],Tabela1[[#This Row],[Saldo Despacho]])</f>
        <v>14626</v>
      </c>
      <c r="I158" s="9">
        <v>24850</v>
      </c>
      <c r="J158" s="10">
        <v>46178</v>
      </c>
      <c r="K158" s="2"/>
      <c r="L158" s="8">
        <f>Tabela1[[#This Row],[Saldo Pedido]]/Tabela1[[#This Row],[Total do Pedido]]</f>
        <v>0</v>
      </c>
      <c r="M158" s="8">
        <f>Tabela1[[#This Row],[Total Despachado]]/Tabela1[[#This Row],[Total do Pedido]]</f>
        <v>0.41142857142857142</v>
      </c>
      <c r="N158" s="2">
        <v>46168</v>
      </c>
      <c r="O158" s="2">
        <v>46168</v>
      </c>
      <c r="P158" s="2"/>
      <c r="Q158" s="10">
        <v>46170</v>
      </c>
      <c r="R158" s="10">
        <v>46171</v>
      </c>
      <c r="S158" s="1" t="s">
        <v>31</v>
      </c>
      <c r="T158" s="1" t="s">
        <v>38</v>
      </c>
      <c r="U158" s="1">
        <v>12</v>
      </c>
      <c r="V158" s="1" t="s">
        <v>49</v>
      </c>
      <c r="W158" s="1" t="s">
        <v>35</v>
      </c>
      <c r="X158" s="1" t="s">
        <v>52</v>
      </c>
      <c r="Y158" s="1" t="s">
        <v>37</v>
      </c>
      <c r="Z158" s="9">
        <v>24850</v>
      </c>
      <c r="AA158" s="9">
        <v>0</v>
      </c>
      <c r="AB158" s="9">
        <v>14721</v>
      </c>
      <c r="AC158" s="9">
        <v>14721</v>
      </c>
      <c r="AD158" s="9">
        <v>0</v>
      </c>
      <c r="AE158" s="9">
        <v>0</v>
      </c>
      <c r="AF158" s="9">
        <v>10224</v>
      </c>
      <c r="AG158" s="9">
        <v>14626</v>
      </c>
      <c r="AH158" s="9">
        <v>10224</v>
      </c>
      <c r="AI158" s="9">
        <v>14626</v>
      </c>
      <c r="AJ158" s="11">
        <v>1</v>
      </c>
    </row>
    <row r="159" spans="1:36" hidden="1" x14ac:dyDescent="0.3">
      <c r="A159" s="1" t="s">
        <v>167</v>
      </c>
      <c r="B159" s="1">
        <v>218352</v>
      </c>
      <c r="C159" s="1"/>
      <c r="D159" s="1" t="s">
        <v>56</v>
      </c>
      <c r="E159" s="7" t="s">
        <v>34</v>
      </c>
      <c r="F159" s="7" t="s">
        <v>171</v>
      </c>
      <c r="G159" s="8">
        <f>SUM(Tabela1[[#This Row],[Total em Romaneio]],Tabela1[[#This Row],[Saldo Despacho]])/Tabela1[[#This Row],[Total do Pedido]]</f>
        <v>0</v>
      </c>
      <c r="H159" s="42">
        <f>SUM(Tabela1[[#This Row],[Total em Romaneio]],Tabela1[[#This Row],[Saldo Despacho]])</f>
        <v>0</v>
      </c>
      <c r="I159" s="9">
        <v>23372.05</v>
      </c>
      <c r="J159" s="10">
        <v>46181</v>
      </c>
      <c r="K159" s="2"/>
      <c r="L159" s="8">
        <f>Tabela1[[#This Row],[Saldo Pedido]]/Tabela1[[#This Row],[Total do Pedido]]</f>
        <v>1</v>
      </c>
      <c r="M159" s="8">
        <f>Tabela1[[#This Row],[Total Despachado]]/Tabela1[[#This Row],[Total do Pedido]]</f>
        <v>0</v>
      </c>
      <c r="N159" s="2">
        <v>46170</v>
      </c>
      <c r="O159" s="2"/>
      <c r="P159" s="2"/>
      <c r="S159" s="1" t="s">
        <v>66</v>
      </c>
      <c r="T159" s="1" t="s">
        <v>38</v>
      </c>
      <c r="U159" s="1">
        <v>12</v>
      </c>
      <c r="V159" s="1" t="s">
        <v>39</v>
      </c>
      <c r="W159" s="1" t="s">
        <v>35</v>
      </c>
      <c r="X159" s="1" t="s">
        <v>42</v>
      </c>
      <c r="Y159" s="1" t="s">
        <v>105</v>
      </c>
      <c r="Z159" s="9">
        <v>0</v>
      </c>
      <c r="AA159" s="9">
        <v>23372.05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23372.05</v>
      </c>
      <c r="AH159" s="9">
        <v>0</v>
      </c>
      <c r="AI159" s="9">
        <v>0</v>
      </c>
      <c r="AJ159" s="11">
        <v>1</v>
      </c>
    </row>
    <row r="160" spans="1:36" hidden="1" x14ac:dyDescent="0.3">
      <c r="A160" s="1" t="s">
        <v>128</v>
      </c>
      <c r="B160" s="1">
        <v>217981</v>
      </c>
      <c r="C160" s="1">
        <v>114198</v>
      </c>
      <c r="D160" s="1" t="s">
        <v>129</v>
      </c>
      <c r="E160" s="7" t="s">
        <v>79</v>
      </c>
      <c r="F160" s="7" t="s">
        <v>95</v>
      </c>
      <c r="G160" s="8">
        <f>SUM(Tabela1[[#This Row],[Total em Romaneio]],Tabela1[[#This Row],[Saldo Despacho]])/Tabela1[[#This Row],[Total do Pedido]]</f>
        <v>1.6817653890824624E-2</v>
      </c>
      <c r="H160" s="42">
        <f>SUM(Tabela1[[#This Row],[Total em Romaneio]],Tabela1[[#This Row],[Saldo Despacho]])</f>
        <v>362</v>
      </c>
      <c r="I160" s="9">
        <v>21525</v>
      </c>
      <c r="J160" s="10">
        <v>46157</v>
      </c>
      <c r="K160" s="2"/>
      <c r="L160" s="8">
        <f>Tabela1[[#This Row],[Saldo Pedido]]/Tabela1[[#This Row],[Total do Pedido]]</f>
        <v>0</v>
      </c>
      <c r="M160" s="8">
        <f>Tabela1[[#This Row],[Total Despachado]]/Tabela1[[#This Row],[Total do Pedido]]</f>
        <v>0.98318234610917543</v>
      </c>
      <c r="N160" s="2">
        <v>46156</v>
      </c>
      <c r="O160" s="2">
        <v>46156</v>
      </c>
      <c r="P160" s="2"/>
      <c r="Q160" s="10">
        <v>46167</v>
      </c>
      <c r="S160" s="1" t="s">
        <v>66</v>
      </c>
      <c r="T160" s="1" t="s">
        <v>32</v>
      </c>
      <c r="U160" s="1">
        <v>12</v>
      </c>
      <c r="V160" s="1" t="s">
        <v>33</v>
      </c>
      <c r="W160" s="1" t="s">
        <v>35</v>
      </c>
      <c r="X160" s="1" t="s">
        <v>52</v>
      </c>
      <c r="Y160" s="1" t="s">
        <v>37</v>
      </c>
      <c r="Z160" s="9">
        <v>21525</v>
      </c>
      <c r="AA160" s="9">
        <v>0</v>
      </c>
      <c r="AB160" s="9">
        <v>878.5</v>
      </c>
      <c r="AC160" s="9">
        <v>454.58</v>
      </c>
      <c r="AD160" s="9">
        <v>423.92</v>
      </c>
      <c r="AE160" s="9">
        <v>0</v>
      </c>
      <c r="AF160" s="9">
        <v>21163</v>
      </c>
      <c r="AG160" s="9">
        <v>362</v>
      </c>
      <c r="AH160" s="9">
        <v>21163</v>
      </c>
      <c r="AI160" s="9">
        <v>362</v>
      </c>
      <c r="AJ160" s="11">
        <v>1</v>
      </c>
    </row>
    <row r="161" spans="1:36" hidden="1" x14ac:dyDescent="0.3">
      <c r="A161" s="1" t="s">
        <v>53</v>
      </c>
      <c r="B161" s="1">
        <v>218337</v>
      </c>
      <c r="C161" s="1"/>
      <c r="D161" s="1" t="s">
        <v>54</v>
      </c>
      <c r="E161" s="7" t="s">
        <v>155</v>
      </c>
      <c r="F161" s="7" t="s">
        <v>77</v>
      </c>
      <c r="G161" s="8">
        <f>SUM(Tabela1[[#This Row],[Total em Romaneio]],Tabela1[[#This Row],[Saldo Despacho]])/Tabela1[[#This Row],[Total do Pedido]]</f>
        <v>0</v>
      </c>
      <c r="H161" s="42">
        <f>SUM(Tabela1[[#This Row],[Total em Romaneio]],Tabela1[[#This Row],[Saldo Despacho]])</f>
        <v>0</v>
      </c>
      <c r="I161" s="9">
        <v>21345</v>
      </c>
      <c r="J161" s="10">
        <v>46192</v>
      </c>
      <c r="K161" s="2"/>
      <c r="L161" s="8">
        <f>Tabela1[[#This Row],[Saldo Pedido]]/Tabela1[[#This Row],[Total do Pedido]]</f>
        <v>0.79231670180370106</v>
      </c>
      <c r="M161" s="8">
        <f>Tabela1[[#This Row],[Total Despachado]]/Tabela1[[#This Row],[Total do Pedido]]</f>
        <v>0</v>
      </c>
      <c r="N161" s="2">
        <v>46170</v>
      </c>
      <c r="O161" s="2">
        <v>46170</v>
      </c>
      <c r="P161" s="2"/>
      <c r="Q161" s="10">
        <v>46171</v>
      </c>
      <c r="S161" s="1" t="s">
        <v>31</v>
      </c>
      <c r="T161" s="1" t="s">
        <v>38</v>
      </c>
      <c r="U161" s="1">
        <v>12</v>
      </c>
      <c r="V161" s="1" t="s">
        <v>49</v>
      </c>
      <c r="W161" s="1" t="s">
        <v>35</v>
      </c>
      <c r="X161" s="1" t="s">
        <v>52</v>
      </c>
      <c r="Y161" s="1" t="s">
        <v>43</v>
      </c>
      <c r="Z161" s="9">
        <v>4433</v>
      </c>
      <c r="AA161" s="9">
        <v>16912</v>
      </c>
      <c r="AB161" s="9">
        <v>14532</v>
      </c>
      <c r="AC161" s="9">
        <v>4950</v>
      </c>
      <c r="AD161" s="9">
        <v>9582</v>
      </c>
      <c r="AE161" s="9">
        <v>0</v>
      </c>
      <c r="AF161" s="9">
        <v>0</v>
      </c>
      <c r="AG161" s="9">
        <v>21345</v>
      </c>
      <c r="AH161" s="9">
        <v>0</v>
      </c>
      <c r="AI161" s="9">
        <v>0</v>
      </c>
      <c r="AJ161" s="11">
        <v>1</v>
      </c>
    </row>
    <row r="162" spans="1:36" hidden="1" x14ac:dyDescent="0.3">
      <c r="A162" s="1" t="s">
        <v>89</v>
      </c>
      <c r="B162" s="1">
        <v>214926</v>
      </c>
      <c r="C162" s="1"/>
      <c r="D162" s="1" t="s">
        <v>56</v>
      </c>
      <c r="E162" s="7" t="s">
        <v>78</v>
      </c>
      <c r="F162" s="7" t="s">
        <v>41</v>
      </c>
      <c r="G162" s="8">
        <f>SUM(Tabela1[[#This Row],[Total em Romaneio]],Tabela1[[#This Row],[Saldo Despacho]])/Tabela1[[#This Row],[Total do Pedido]]</f>
        <v>0</v>
      </c>
      <c r="H162" s="42">
        <f>SUM(Tabela1[[#This Row],[Total em Romaneio]],Tabela1[[#This Row],[Saldo Despacho]])</f>
        <v>0</v>
      </c>
      <c r="I162" s="9">
        <v>21021.84</v>
      </c>
      <c r="J162" s="10">
        <v>46091</v>
      </c>
      <c r="K162" s="2"/>
      <c r="L162" s="8">
        <f>Tabela1[[#This Row],[Saldo Pedido]]/Tabela1[[#This Row],[Total do Pedido]]</f>
        <v>0</v>
      </c>
      <c r="M162" s="8">
        <f>Tabela1[[#This Row],[Total Despachado]]/Tabela1[[#This Row],[Total do Pedido]]</f>
        <v>0.75595238095238093</v>
      </c>
      <c r="N162" s="2">
        <v>46056</v>
      </c>
      <c r="O162" s="2">
        <v>46064</v>
      </c>
      <c r="P162" s="2">
        <v>46076</v>
      </c>
      <c r="Q162" s="10">
        <v>46093</v>
      </c>
      <c r="S162" s="1" t="s">
        <v>31</v>
      </c>
      <c r="T162" s="1" t="s">
        <v>38</v>
      </c>
      <c r="U162" s="1">
        <v>12</v>
      </c>
      <c r="V162" s="1" t="s">
        <v>39</v>
      </c>
      <c r="X162" s="1" t="s">
        <v>52</v>
      </c>
      <c r="Y162" s="1" t="s">
        <v>37</v>
      </c>
      <c r="Z162" s="9">
        <v>21021.84</v>
      </c>
      <c r="AA162" s="9">
        <v>0</v>
      </c>
      <c r="AB162" s="9">
        <v>5982.48</v>
      </c>
      <c r="AC162" s="9">
        <v>5683.44</v>
      </c>
      <c r="AD162" s="9">
        <v>299.04000000000002</v>
      </c>
      <c r="AE162" s="9">
        <v>0</v>
      </c>
      <c r="AF162" s="9">
        <v>15891.51</v>
      </c>
      <c r="AG162" s="9">
        <v>5130.33</v>
      </c>
      <c r="AH162" s="9">
        <v>15891.51</v>
      </c>
      <c r="AI162" s="9">
        <v>0</v>
      </c>
      <c r="AJ162" s="11">
        <v>1</v>
      </c>
    </row>
    <row r="163" spans="1:36" hidden="1" x14ac:dyDescent="0.3">
      <c r="A163" s="1" t="s">
        <v>53</v>
      </c>
      <c r="B163" s="1">
        <v>218121</v>
      </c>
      <c r="C163" s="1"/>
      <c r="D163" s="1" t="s">
        <v>54</v>
      </c>
      <c r="E163" s="7" t="s">
        <v>34</v>
      </c>
      <c r="F163" s="7" t="s">
        <v>77</v>
      </c>
      <c r="G163" s="8">
        <f>SUM(Tabela1[[#This Row],[Total em Romaneio]],Tabela1[[#This Row],[Saldo Despacho]])/Tabela1[[#This Row],[Total do Pedido]]</f>
        <v>0</v>
      </c>
      <c r="H163" s="42">
        <f>SUM(Tabela1[[#This Row],[Total em Romaneio]],Tabela1[[#This Row],[Saldo Despacho]])</f>
        <v>0</v>
      </c>
      <c r="I163" s="9">
        <v>20742</v>
      </c>
      <c r="J163" s="10">
        <v>46171</v>
      </c>
      <c r="K163" s="2"/>
      <c r="L163" s="8">
        <f>Tabela1[[#This Row],[Saldo Pedido]]/Tabela1[[#This Row],[Total do Pedido]]</f>
        <v>0</v>
      </c>
      <c r="M163" s="8">
        <f>Tabela1[[#This Row],[Total Despachado]]/Tabela1[[#This Row],[Total do Pedido]]</f>
        <v>0.95512727798669361</v>
      </c>
      <c r="N163" s="2">
        <v>46161</v>
      </c>
      <c r="O163" s="2">
        <v>46162</v>
      </c>
      <c r="P163" s="2"/>
      <c r="Q163" s="10">
        <v>46170</v>
      </c>
      <c r="R163" s="10">
        <v>46170</v>
      </c>
      <c r="S163" s="1" t="s">
        <v>31</v>
      </c>
      <c r="T163" s="1" t="s">
        <v>38</v>
      </c>
      <c r="U163" s="1">
        <v>12</v>
      </c>
      <c r="V163" s="1" t="s">
        <v>49</v>
      </c>
      <c r="W163" s="1" t="s">
        <v>35</v>
      </c>
      <c r="X163" s="1" t="s">
        <v>52</v>
      </c>
      <c r="Y163" s="1" t="s">
        <v>37</v>
      </c>
      <c r="Z163" s="9">
        <v>20742</v>
      </c>
      <c r="AA163" s="9">
        <v>0</v>
      </c>
      <c r="AB163" s="9">
        <v>1496.39</v>
      </c>
      <c r="AC163" s="9">
        <v>1496.39</v>
      </c>
      <c r="AD163" s="9">
        <v>0</v>
      </c>
      <c r="AE163" s="9">
        <v>0</v>
      </c>
      <c r="AF163" s="9">
        <v>19811.25</v>
      </c>
      <c r="AG163" s="9">
        <v>930.75</v>
      </c>
      <c r="AH163" s="9">
        <v>19811.25</v>
      </c>
      <c r="AI163" s="9">
        <v>0</v>
      </c>
      <c r="AJ163" s="11">
        <v>1</v>
      </c>
    </row>
    <row r="164" spans="1:36" hidden="1" x14ac:dyDescent="0.3">
      <c r="A164" s="1" t="s">
        <v>158</v>
      </c>
      <c r="B164" s="1">
        <v>218265</v>
      </c>
      <c r="C164" s="1"/>
      <c r="D164" s="1" t="s">
        <v>160</v>
      </c>
      <c r="E164" s="7" t="s">
        <v>34</v>
      </c>
      <c r="F164" s="7" t="s">
        <v>41</v>
      </c>
      <c r="G164" s="8">
        <f>SUM(Tabela1[[#This Row],[Total em Romaneio]],Tabela1[[#This Row],[Saldo Despacho]])/Tabela1[[#This Row],[Total do Pedido]]</f>
        <v>0</v>
      </c>
      <c r="H164" s="42">
        <f>SUM(Tabela1[[#This Row],[Total em Romaneio]],Tabela1[[#This Row],[Saldo Despacho]])</f>
        <v>0</v>
      </c>
      <c r="I164" s="9">
        <v>20654.87</v>
      </c>
      <c r="J164" s="10">
        <v>46170</v>
      </c>
      <c r="K164" s="2"/>
      <c r="L164" s="8">
        <f>Tabela1[[#This Row],[Saldo Pedido]]/Tabela1[[#This Row],[Total do Pedido]]</f>
        <v>9.6829464431390753E-3</v>
      </c>
      <c r="M164" s="8">
        <f>Tabela1[[#This Row],[Total Despachado]]/Tabela1[[#This Row],[Total do Pedido]]</f>
        <v>0.99031705355686095</v>
      </c>
      <c r="N164" s="2">
        <v>46168</v>
      </c>
      <c r="O164" s="2">
        <v>46168</v>
      </c>
      <c r="P164" s="2"/>
      <c r="Q164" s="10">
        <v>46169</v>
      </c>
      <c r="R164" s="10">
        <v>46169</v>
      </c>
      <c r="S164" s="1" t="s">
        <v>31</v>
      </c>
      <c r="T164" s="1" t="s">
        <v>38</v>
      </c>
      <c r="U164" s="1">
        <v>12</v>
      </c>
      <c r="V164" s="1" t="s">
        <v>39</v>
      </c>
      <c r="W164" s="1" t="s">
        <v>35</v>
      </c>
      <c r="X164" s="1" t="s">
        <v>52</v>
      </c>
      <c r="Y164" s="1" t="s">
        <v>43</v>
      </c>
      <c r="Z164" s="9">
        <v>20454.87</v>
      </c>
      <c r="AA164" s="9">
        <v>200</v>
      </c>
      <c r="AB164" s="9">
        <v>895</v>
      </c>
      <c r="AC164" s="9">
        <v>895</v>
      </c>
      <c r="AD164" s="9">
        <v>0</v>
      </c>
      <c r="AE164" s="9">
        <v>0</v>
      </c>
      <c r="AF164" s="9">
        <v>20454.87</v>
      </c>
      <c r="AG164" s="9">
        <v>200</v>
      </c>
      <c r="AH164" s="9">
        <v>20454.87</v>
      </c>
      <c r="AI164" s="9">
        <v>0</v>
      </c>
      <c r="AJ164" s="11">
        <v>1</v>
      </c>
    </row>
    <row r="165" spans="1:36" hidden="1" x14ac:dyDescent="0.3">
      <c r="A165" s="1" t="s">
        <v>102</v>
      </c>
      <c r="B165" s="1">
        <v>215338</v>
      </c>
      <c r="C165" s="1"/>
      <c r="D165" s="1" t="s">
        <v>56</v>
      </c>
      <c r="E165" s="7" t="s">
        <v>86</v>
      </c>
      <c r="F165" s="7" t="s">
        <v>87</v>
      </c>
      <c r="G165" s="8">
        <f>SUM(Tabela1[[#This Row],[Total em Romaneio]],Tabela1[[#This Row],[Saldo Despacho]])/Tabela1[[#This Row],[Total do Pedido]]</f>
        <v>0</v>
      </c>
      <c r="H165" s="42">
        <f>SUM(Tabela1[[#This Row],[Total em Romaneio]],Tabela1[[#This Row],[Saldo Despacho]])</f>
        <v>0</v>
      </c>
      <c r="I165" s="9">
        <v>20041.86</v>
      </c>
      <c r="J165" s="10">
        <v>46105</v>
      </c>
      <c r="K165" s="2"/>
      <c r="L165" s="8">
        <f>Tabela1[[#This Row],[Saldo Pedido]]/Tabela1[[#This Row],[Total do Pedido]]</f>
        <v>1</v>
      </c>
      <c r="M165" s="8">
        <f>Tabela1[[#This Row],[Total Despachado]]/Tabela1[[#This Row],[Total do Pedido]]</f>
        <v>0</v>
      </c>
      <c r="N165" s="2">
        <v>46073</v>
      </c>
      <c r="O165" s="2">
        <v>46073</v>
      </c>
      <c r="P165" s="2"/>
      <c r="S165" s="1" t="s">
        <v>44</v>
      </c>
      <c r="T165" s="1" t="s">
        <v>38</v>
      </c>
      <c r="U165" s="1">
        <v>236</v>
      </c>
      <c r="V165" s="1" t="s">
        <v>85</v>
      </c>
      <c r="X165" s="1" t="s">
        <v>36</v>
      </c>
      <c r="Y165" s="1" t="s">
        <v>43</v>
      </c>
      <c r="Z165" s="9">
        <v>0</v>
      </c>
      <c r="AA165" s="9">
        <v>20041.86</v>
      </c>
      <c r="AB165" s="9">
        <v>19185.599999999999</v>
      </c>
      <c r="AC165" s="9">
        <v>0</v>
      </c>
      <c r="AD165" s="9">
        <v>19185.599999999999</v>
      </c>
      <c r="AE165" s="9">
        <v>0</v>
      </c>
      <c r="AF165" s="9">
        <v>0</v>
      </c>
      <c r="AG165" s="9">
        <v>20041.86</v>
      </c>
      <c r="AH165" s="9">
        <v>0</v>
      </c>
      <c r="AI165" s="9">
        <v>0</v>
      </c>
      <c r="AJ165" s="11">
        <v>1</v>
      </c>
    </row>
    <row r="166" spans="1:36" hidden="1" x14ac:dyDescent="0.3">
      <c r="A166" s="1" t="s">
        <v>102</v>
      </c>
      <c r="B166" s="1">
        <v>214972</v>
      </c>
      <c r="C166" s="1"/>
      <c r="D166" s="1" t="s">
        <v>56</v>
      </c>
      <c r="E166" s="7" t="s">
        <v>86</v>
      </c>
      <c r="F166" s="7" t="s">
        <v>87</v>
      </c>
      <c r="G166" s="8">
        <f>SUM(Tabela1[[#This Row],[Total em Romaneio]],Tabela1[[#This Row],[Saldo Despacho]])/Tabela1[[#This Row],[Total do Pedido]]</f>
        <v>0</v>
      </c>
      <c r="H166" s="42">
        <f>SUM(Tabela1[[#This Row],[Total em Romaneio]],Tabela1[[#This Row],[Saldo Despacho]])</f>
        <v>0</v>
      </c>
      <c r="I166" s="9">
        <v>19464.400000000001</v>
      </c>
      <c r="J166" s="10">
        <v>46105</v>
      </c>
      <c r="K166" s="2"/>
      <c r="L166" s="8">
        <f>Tabela1[[#This Row],[Saldo Pedido]]/Tabela1[[#This Row],[Total do Pedido]]</f>
        <v>1</v>
      </c>
      <c r="M166" s="8">
        <f>Tabela1[[#This Row],[Total Despachado]]/Tabela1[[#This Row],[Total do Pedido]]</f>
        <v>0</v>
      </c>
      <c r="N166" s="2">
        <v>46058</v>
      </c>
      <c r="O166" s="2">
        <v>46058</v>
      </c>
      <c r="P166" s="2">
        <v>46069</v>
      </c>
      <c r="S166" s="1" t="s">
        <v>44</v>
      </c>
      <c r="T166" s="1" t="s">
        <v>38</v>
      </c>
      <c r="U166" s="1">
        <v>236</v>
      </c>
      <c r="V166" s="1" t="s">
        <v>103</v>
      </c>
      <c r="X166" s="1" t="s">
        <v>58</v>
      </c>
      <c r="Y166" s="1" t="s">
        <v>43</v>
      </c>
      <c r="Z166" s="9">
        <v>0</v>
      </c>
      <c r="AA166" s="9">
        <v>19464.400000000001</v>
      </c>
      <c r="AB166" s="9">
        <v>20384</v>
      </c>
      <c r="AC166" s="9">
        <v>20384</v>
      </c>
      <c r="AD166" s="9">
        <v>0</v>
      </c>
      <c r="AE166" s="9">
        <v>0</v>
      </c>
      <c r="AF166" s="9">
        <v>0</v>
      </c>
      <c r="AG166" s="9">
        <v>19464.400000000001</v>
      </c>
      <c r="AH166" s="9">
        <v>0</v>
      </c>
      <c r="AI166" s="9">
        <v>0</v>
      </c>
      <c r="AJ166" s="11">
        <v>1</v>
      </c>
    </row>
    <row r="167" spans="1:36" hidden="1" x14ac:dyDescent="0.3">
      <c r="A167" s="1" t="s">
        <v>102</v>
      </c>
      <c r="B167" s="1">
        <v>217222</v>
      </c>
      <c r="C167" s="1"/>
      <c r="D167" s="1" t="s">
        <v>56</v>
      </c>
      <c r="E167" s="7" t="s">
        <v>86</v>
      </c>
      <c r="F167" s="7" t="s">
        <v>87</v>
      </c>
      <c r="G167" s="8">
        <f>SUM(Tabela1[[#This Row],[Total em Romaneio]],Tabela1[[#This Row],[Saldo Despacho]])/Tabela1[[#This Row],[Total do Pedido]]</f>
        <v>0</v>
      </c>
      <c r="H167" s="42">
        <f>SUM(Tabela1[[#This Row],[Total em Romaneio]],Tabela1[[#This Row],[Saldo Despacho]])</f>
        <v>0</v>
      </c>
      <c r="I167" s="9">
        <v>19209.61</v>
      </c>
      <c r="J167" s="10">
        <v>46132</v>
      </c>
      <c r="K167" s="2"/>
      <c r="L167" s="8">
        <f>Tabela1[[#This Row],[Saldo Pedido]]/Tabela1[[#This Row],[Total do Pedido]]</f>
        <v>1</v>
      </c>
      <c r="M167" s="8">
        <f>Tabela1[[#This Row],[Total Despachado]]/Tabela1[[#This Row],[Total do Pedido]]</f>
        <v>0</v>
      </c>
      <c r="N167" s="2">
        <v>46128</v>
      </c>
      <c r="O167" s="2">
        <v>46128</v>
      </c>
      <c r="P167" s="2"/>
      <c r="S167" s="1" t="s">
        <v>44</v>
      </c>
      <c r="T167" s="1" t="s">
        <v>32</v>
      </c>
      <c r="U167" s="1">
        <v>236</v>
      </c>
      <c r="V167" s="1" t="s">
        <v>85</v>
      </c>
      <c r="W167" s="1" t="s">
        <v>35</v>
      </c>
      <c r="X167" s="1" t="s">
        <v>58</v>
      </c>
      <c r="Y167" s="1" t="s">
        <v>43</v>
      </c>
      <c r="Z167" s="9">
        <v>0</v>
      </c>
      <c r="AA167" s="9">
        <v>19209.61</v>
      </c>
      <c r="AB167" s="9">
        <v>21375.9</v>
      </c>
      <c r="AC167" s="9">
        <v>21375.9</v>
      </c>
      <c r="AD167" s="9">
        <v>0</v>
      </c>
      <c r="AE167" s="9">
        <v>0</v>
      </c>
      <c r="AF167" s="9">
        <v>0</v>
      </c>
      <c r="AG167" s="9">
        <v>19209.61</v>
      </c>
      <c r="AH167" s="9">
        <v>0</v>
      </c>
      <c r="AI167" s="9">
        <v>0</v>
      </c>
      <c r="AJ167" s="11">
        <v>1</v>
      </c>
    </row>
    <row r="168" spans="1:36" hidden="1" x14ac:dyDescent="0.3">
      <c r="A168" s="1" t="s">
        <v>53</v>
      </c>
      <c r="B168" s="1">
        <v>218135</v>
      </c>
      <c r="C168" s="1"/>
      <c r="D168" s="1" t="s">
        <v>54</v>
      </c>
      <c r="E168" s="7" t="s">
        <v>34</v>
      </c>
      <c r="F168" s="7" t="s">
        <v>120</v>
      </c>
      <c r="G168" s="8">
        <f>SUM(Tabela1[[#This Row],[Total em Romaneio]],Tabela1[[#This Row],[Saldo Despacho]])/Tabela1[[#This Row],[Total do Pedido]]</f>
        <v>0</v>
      </c>
      <c r="H168" s="42">
        <f>SUM(Tabela1[[#This Row],[Total em Romaneio]],Tabela1[[#This Row],[Saldo Despacho]])</f>
        <v>0</v>
      </c>
      <c r="I168" s="9">
        <v>19073.7</v>
      </c>
      <c r="J168" s="10">
        <v>46171</v>
      </c>
      <c r="K168" s="2"/>
      <c r="L168" s="8">
        <f>Tabela1[[#This Row],[Saldo Pedido]]/Tabela1[[#This Row],[Total do Pedido]]</f>
        <v>0</v>
      </c>
      <c r="M168" s="8">
        <f>Tabela1[[#This Row],[Total Despachado]]/Tabela1[[#This Row],[Total do Pedido]]</f>
        <v>0.96190933064900874</v>
      </c>
      <c r="N168" s="2">
        <v>46162</v>
      </c>
      <c r="O168" s="2">
        <v>46162</v>
      </c>
      <c r="P168" s="2"/>
      <c r="Q168" s="10">
        <v>46168</v>
      </c>
      <c r="S168" s="1" t="s">
        <v>31</v>
      </c>
      <c r="T168" s="1" t="s">
        <v>38</v>
      </c>
      <c r="U168" s="1">
        <v>12</v>
      </c>
      <c r="V168" s="1" t="s">
        <v>49</v>
      </c>
      <c r="W168" s="1" t="s">
        <v>35</v>
      </c>
      <c r="X168" s="1" t="s">
        <v>51</v>
      </c>
      <c r="Y168" s="1" t="s">
        <v>37</v>
      </c>
      <c r="Z168" s="9">
        <v>19073.7</v>
      </c>
      <c r="AA168" s="9">
        <v>0</v>
      </c>
      <c r="AB168" s="9">
        <v>1094.24</v>
      </c>
      <c r="AC168" s="9">
        <v>962.74</v>
      </c>
      <c r="AD168" s="9">
        <v>131.5</v>
      </c>
      <c r="AE168" s="9">
        <v>0</v>
      </c>
      <c r="AF168" s="9">
        <v>18347.169999999998</v>
      </c>
      <c r="AG168" s="9">
        <v>726.53</v>
      </c>
      <c r="AH168" s="9">
        <v>18347.169999999998</v>
      </c>
      <c r="AI168" s="9">
        <v>0</v>
      </c>
      <c r="AJ168" s="11">
        <v>1</v>
      </c>
    </row>
    <row r="169" spans="1:36" hidden="1" x14ac:dyDescent="0.3">
      <c r="A169" s="1" t="s">
        <v>53</v>
      </c>
      <c r="B169" s="1">
        <v>218138</v>
      </c>
      <c r="C169" s="1"/>
      <c r="D169" s="1" t="s">
        <v>54</v>
      </c>
      <c r="E169" s="7" t="s">
        <v>34</v>
      </c>
      <c r="F169" s="7" t="s">
        <v>77</v>
      </c>
      <c r="G169" s="8">
        <f>SUM(Tabela1[[#This Row],[Total em Romaneio]],Tabela1[[#This Row],[Saldo Despacho]])/Tabela1[[#This Row],[Total do Pedido]]</f>
        <v>0</v>
      </c>
      <c r="H169" s="42">
        <f>SUM(Tabela1[[#This Row],[Total em Romaneio]],Tabela1[[#This Row],[Saldo Despacho]])</f>
        <v>0</v>
      </c>
      <c r="I169" s="9">
        <v>18815.91</v>
      </c>
      <c r="J169" s="10">
        <v>46171</v>
      </c>
      <c r="K169" s="2"/>
      <c r="L169" s="8">
        <f>Tabela1[[#This Row],[Saldo Pedido]]/Tabela1[[#This Row],[Total do Pedido]]</f>
        <v>0</v>
      </c>
      <c r="M169" s="8">
        <f>Tabela1[[#This Row],[Total Despachado]]/Tabela1[[#This Row],[Total do Pedido]]</f>
        <v>0.90130480003358859</v>
      </c>
      <c r="N169" s="2">
        <v>46162</v>
      </c>
      <c r="O169" s="2">
        <v>46162</v>
      </c>
      <c r="P169" s="2"/>
      <c r="Q169" s="10">
        <v>46167</v>
      </c>
      <c r="S169" s="1" t="s">
        <v>31</v>
      </c>
      <c r="T169" s="1" t="s">
        <v>38</v>
      </c>
      <c r="U169" s="1">
        <v>12</v>
      </c>
      <c r="V169" s="1" t="s">
        <v>49</v>
      </c>
      <c r="W169" s="1" t="s">
        <v>35</v>
      </c>
      <c r="X169" s="1" t="s">
        <v>52</v>
      </c>
      <c r="Y169" s="1" t="s">
        <v>37</v>
      </c>
      <c r="Z169" s="9">
        <v>18815.91</v>
      </c>
      <c r="AA169" s="9">
        <v>0</v>
      </c>
      <c r="AB169" s="9">
        <v>2077.5</v>
      </c>
      <c r="AC169" s="9">
        <v>1919.5</v>
      </c>
      <c r="AD169" s="9">
        <v>158</v>
      </c>
      <c r="AE169" s="9">
        <v>0</v>
      </c>
      <c r="AF169" s="9">
        <v>16958.87</v>
      </c>
      <c r="AG169" s="9">
        <v>1857.04</v>
      </c>
      <c r="AH169" s="9">
        <v>16958.87</v>
      </c>
      <c r="AI169" s="9">
        <v>0</v>
      </c>
      <c r="AJ169" s="11">
        <v>1</v>
      </c>
    </row>
    <row r="170" spans="1:36" hidden="1" x14ac:dyDescent="0.3">
      <c r="A170" s="1" t="s">
        <v>46</v>
      </c>
      <c r="B170" s="1">
        <v>217551</v>
      </c>
      <c r="C170" s="1"/>
      <c r="D170" s="1" t="s">
        <v>47</v>
      </c>
      <c r="E170" s="7" t="s">
        <v>88</v>
      </c>
      <c r="F170" s="7" t="s">
        <v>41</v>
      </c>
      <c r="G170" s="8">
        <f>SUM(Tabela1[[#This Row],[Total em Romaneio]],Tabela1[[#This Row],[Saldo Despacho]])/Tabela1[[#This Row],[Total do Pedido]]</f>
        <v>0</v>
      </c>
      <c r="H170" s="42">
        <f>SUM(Tabela1[[#This Row],[Total em Romaneio]],Tabela1[[#This Row],[Saldo Despacho]])</f>
        <v>0</v>
      </c>
      <c r="I170" s="9">
        <v>17622</v>
      </c>
      <c r="J170" s="10">
        <v>46175</v>
      </c>
      <c r="K170" s="2"/>
      <c r="L170" s="8">
        <f>Tabela1[[#This Row],[Saldo Pedido]]/Tabela1[[#This Row],[Total do Pedido]]</f>
        <v>1</v>
      </c>
      <c r="M170" s="8">
        <f>Tabela1[[#This Row],[Total Despachado]]/Tabela1[[#This Row],[Total do Pedido]]</f>
        <v>0</v>
      </c>
      <c r="N170" s="2">
        <v>46141</v>
      </c>
      <c r="O170" s="2">
        <v>46141</v>
      </c>
      <c r="P170" s="2">
        <v>46149</v>
      </c>
      <c r="R170" s="10">
        <v>46203</v>
      </c>
      <c r="S170" s="1" t="s">
        <v>48</v>
      </c>
      <c r="T170" s="1" t="s">
        <v>32</v>
      </c>
      <c r="U170" s="1">
        <v>12</v>
      </c>
      <c r="V170" s="1" t="s">
        <v>49</v>
      </c>
      <c r="W170" s="1" t="s">
        <v>35</v>
      </c>
      <c r="X170" s="1" t="s">
        <v>58</v>
      </c>
      <c r="Y170" s="1" t="s">
        <v>43</v>
      </c>
      <c r="Z170" s="9">
        <v>0</v>
      </c>
      <c r="AA170" s="9">
        <v>17622</v>
      </c>
      <c r="AB170" s="9">
        <v>8166.64</v>
      </c>
      <c r="AC170" s="9">
        <v>8166.64</v>
      </c>
      <c r="AD170" s="9">
        <v>0</v>
      </c>
      <c r="AE170" s="9">
        <v>0</v>
      </c>
      <c r="AF170" s="9">
        <v>0</v>
      </c>
      <c r="AG170" s="9">
        <v>17622</v>
      </c>
      <c r="AH170" s="9">
        <v>0</v>
      </c>
      <c r="AI170" s="9">
        <v>0</v>
      </c>
      <c r="AJ170" s="11">
        <v>1</v>
      </c>
    </row>
    <row r="171" spans="1:36" x14ac:dyDescent="0.3">
      <c r="A171" s="1" t="s">
        <v>64</v>
      </c>
      <c r="B171" s="1">
        <v>218217</v>
      </c>
      <c r="C171" s="1"/>
      <c r="D171" s="1" t="s">
        <v>65</v>
      </c>
      <c r="E171" s="7" t="s">
        <v>57</v>
      </c>
      <c r="F171" s="7" t="s">
        <v>77</v>
      </c>
      <c r="G171" s="8">
        <f>SUM(Tabela1[[#This Row],[Total em Romaneio]],Tabela1[[#This Row],[Saldo Despacho]])/Tabela1[[#This Row],[Total do Pedido]]</f>
        <v>0</v>
      </c>
      <c r="H171" s="42">
        <f>SUM(Tabela1[[#This Row],[Total em Romaneio]],Tabela1[[#This Row],[Saldo Despacho]])</f>
        <v>0</v>
      </c>
      <c r="I171" s="9">
        <v>17392.150000000001</v>
      </c>
      <c r="J171" s="10">
        <v>46178</v>
      </c>
      <c r="K171" s="2"/>
      <c r="L171" s="8">
        <f>Tabela1[[#This Row],[Saldo Pedido]]/Tabela1[[#This Row],[Total do Pedido]]</f>
        <v>1</v>
      </c>
      <c r="M171" s="8">
        <f>Tabela1[[#This Row],[Total Despachado]]/Tabela1[[#This Row],[Total do Pedido]]</f>
        <v>0</v>
      </c>
      <c r="N171" s="2">
        <v>46164</v>
      </c>
      <c r="O171" s="2">
        <v>46167</v>
      </c>
      <c r="P171" s="2">
        <v>46178</v>
      </c>
      <c r="R171" s="10">
        <v>46178</v>
      </c>
      <c r="S171" s="1" t="s">
        <v>66</v>
      </c>
      <c r="T171" s="1" t="s">
        <v>32</v>
      </c>
      <c r="U171" s="1">
        <v>12</v>
      </c>
      <c r="V171" s="1" t="s">
        <v>39</v>
      </c>
      <c r="W171" s="1" t="s">
        <v>35</v>
      </c>
      <c r="X171" s="1" t="s">
        <v>58</v>
      </c>
      <c r="Y171" s="1" t="s">
        <v>43</v>
      </c>
      <c r="Z171" s="9">
        <v>0</v>
      </c>
      <c r="AA171" s="9">
        <v>17392.150000000001</v>
      </c>
      <c r="AB171" s="9">
        <v>8459.4599999999991</v>
      </c>
      <c r="AC171" s="9">
        <v>8459.4599999999991</v>
      </c>
      <c r="AD171" s="9">
        <v>0</v>
      </c>
      <c r="AE171" s="9">
        <v>0</v>
      </c>
      <c r="AF171" s="9">
        <v>0</v>
      </c>
      <c r="AG171" s="9">
        <v>17392.150000000001</v>
      </c>
      <c r="AH171" s="9">
        <v>0</v>
      </c>
      <c r="AI171" s="9">
        <v>0</v>
      </c>
      <c r="AJ171" s="11">
        <v>1</v>
      </c>
    </row>
    <row r="172" spans="1:36" hidden="1" x14ac:dyDescent="0.3">
      <c r="A172" s="1" t="s">
        <v>102</v>
      </c>
      <c r="B172" s="1">
        <v>215757</v>
      </c>
      <c r="C172" s="1"/>
      <c r="D172" s="1" t="s">
        <v>56</v>
      </c>
      <c r="E172" s="7" t="s">
        <v>86</v>
      </c>
      <c r="F172" s="7" t="s">
        <v>87</v>
      </c>
      <c r="G172" s="8">
        <f>SUM(Tabela1[[#This Row],[Total em Romaneio]],Tabela1[[#This Row],[Saldo Despacho]])/Tabela1[[#This Row],[Total do Pedido]]</f>
        <v>0</v>
      </c>
      <c r="H172" s="42">
        <f>SUM(Tabela1[[#This Row],[Total em Romaneio]],Tabela1[[#This Row],[Saldo Despacho]])</f>
        <v>0</v>
      </c>
      <c r="I172" s="9">
        <v>17000</v>
      </c>
      <c r="J172" s="10">
        <v>46094</v>
      </c>
      <c r="K172" s="2"/>
      <c r="L172" s="8">
        <f>Tabela1[[#This Row],[Saldo Pedido]]/Tabela1[[#This Row],[Total do Pedido]]</f>
        <v>1</v>
      </c>
      <c r="M172" s="8">
        <f>Tabela1[[#This Row],[Total Despachado]]/Tabela1[[#This Row],[Total do Pedido]]</f>
        <v>0</v>
      </c>
      <c r="N172" s="2">
        <v>46085</v>
      </c>
      <c r="O172" s="2">
        <v>46085</v>
      </c>
      <c r="P172" s="2"/>
      <c r="S172" s="1" t="s">
        <v>44</v>
      </c>
      <c r="T172" s="1" t="s">
        <v>38</v>
      </c>
      <c r="U172" s="1">
        <v>236</v>
      </c>
      <c r="V172" s="1" t="s">
        <v>85</v>
      </c>
      <c r="W172" s="1" t="s">
        <v>35</v>
      </c>
      <c r="X172" s="1" t="s">
        <v>58</v>
      </c>
      <c r="Y172" s="1" t="s">
        <v>43</v>
      </c>
      <c r="Z172" s="9">
        <v>0</v>
      </c>
      <c r="AA172" s="9">
        <v>17000</v>
      </c>
      <c r="AB172" s="9">
        <v>24700</v>
      </c>
      <c r="AC172" s="9">
        <v>24700</v>
      </c>
      <c r="AD172" s="9">
        <v>0</v>
      </c>
      <c r="AE172" s="9">
        <v>0</v>
      </c>
      <c r="AF172" s="9">
        <v>0</v>
      </c>
      <c r="AG172" s="9">
        <v>17000</v>
      </c>
      <c r="AH172" s="9">
        <v>0</v>
      </c>
      <c r="AI172" s="9">
        <v>0</v>
      </c>
      <c r="AJ172" s="11">
        <v>1</v>
      </c>
    </row>
    <row r="173" spans="1:36" hidden="1" x14ac:dyDescent="0.3">
      <c r="A173" s="1" t="s">
        <v>90</v>
      </c>
      <c r="B173" s="1">
        <v>216972</v>
      </c>
      <c r="C173" s="1"/>
      <c r="D173" s="1" t="s">
        <v>56</v>
      </c>
      <c r="E173" s="7" t="s">
        <v>86</v>
      </c>
      <c r="F173" s="7" t="s">
        <v>87</v>
      </c>
      <c r="G173" s="8">
        <f>SUM(Tabela1[[#This Row],[Total em Romaneio]],Tabela1[[#This Row],[Saldo Despacho]])/Tabela1[[#This Row],[Total do Pedido]]</f>
        <v>0</v>
      </c>
      <c r="H173" s="42">
        <f>SUM(Tabela1[[#This Row],[Total em Romaneio]],Tabela1[[#This Row],[Saldo Despacho]])</f>
        <v>0</v>
      </c>
      <c r="I173" s="9">
        <v>16500</v>
      </c>
      <c r="J173" s="10">
        <v>46132</v>
      </c>
      <c r="K173" s="2"/>
      <c r="L173" s="8">
        <f>Tabela1[[#This Row],[Saldo Pedido]]/Tabela1[[#This Row],[Total do Pedido]]</f>
        <v>1</v>
      </c>
      <c r="M173" s="8">
        <f>Tabela1[[#This Row],[Total Despachado]]/Tabela1[[#This Row],[Total do Pedido]]</f>
        <v>0</v>
      </c>
      <c r="N173" s="2">
        <v>46122</v>
      </c>
      <c r="O173" s="2">
        <v>46122</v>
      </c>
      <c r="P173" s="2"/>
      <c r="S173" s="1" t="s">
        <v>44</v>
      </c>
      <c r="T173" s="1" t="s">
        <v>115</v>
      </c>
      <c r="U173" s="1">
        <v>236</v>
      </c>
      <c r="V173" s="1" t="s">
        <v>85</v>
      </c>
      <c r="W173" s="1" t="s">
        <v>35</v>
      </c>
      <c r="X173" s="1" t="s">
        <v>58</v>
      </c>
      <c r="Y173" s="1" t="s">
        <v>43</v>
      </c>
      <c r="Z173" s="9">
        <v>0</v>
      </c>
      <c r="AA173" s="9">
        <v>16500</v>
      </c>
      <c r="AB173" s="9">
        <v>19860</v>
      </c>
      <c r="AC173" s="9">
        <v>19860</v>
      </c>
      <c r="AD173" s="9">
        <v>0</v>
      </c>
      <c r="AE173" s="9">
        <v>0</v>
      </c>
      <c r="AF173" s="9">
        <v>0</v>
      </c>
      <c r="AG173" s="9">
        <v>16500</v>
      </c>
      <c r="AH173" s="9">
        <v>0</v>
      </c>
      <c r="AI173" s="9">
        <v>0</v>
      </c>
      <c r="AJ173" s="11">
        <v>1</v>
      </c>
    </row>
    <row r="174" spans="1:36" hidden="1" x14ac:dyDescent="0.3">
      <c r="A174" s="1" t="s">
        <v>80</v>
      </c>
      <c r="B174" s="1">
        <v>217486</v>
      </c>
      <c r="C174" s="1"/>
      <c r="D174" s="1" t="s">
        <v>81</v>
      </c>
      <c r="E174" s="7" t="s">
        <v>40</v>
      </c>
      <c r="F174" s="7" t="s">
        <v>76</v>
      </c>
      <c r="G174" s="8">
        <f>SUM(Tabela1[[#This Row],[Total em Romaneio]],Tabela1[[#This Row],[Saldo Despacho]])/Tabela1[[#This Row],[Total do Pedido]]</f>
        <v>1</v>
      </c>
      <c r="H174" s="42">
        <f>SUM(Tabela1[[#This Row],[Total em Romaneio]],Tabela1[[#This Row],[Saldo Despacho]])</f>
        <v>14974.4</v>
      </c>
      <c r="I174" s="9">
        <v>14974.4</v>
      </c>
      <c r="J174" s="10">
        <v>46150</v>
      </c>
      <c r="K174" s="2"/>
      <c r="L174" s="8">
        <f>Tabela1[[#This Row],[Saldo Pedido]]/Tabela1[[#This Row],[Total do Pedido]]</f>
        <v>0</v>
      </c>
      <c r="M174" s="8">
        <f>Tabela1[[#This Row],[Total Despachado]]/Tabela1[[#This Row],[Total do Pedido]]</f>
        <v>0</v>
      </c>
      <c r="N174" s="2">
        <v>46140</v>
      </c>
      <c r="O174" s="2">
        <v>46140</v>
      </c>
      <c r="P174" s="2"/>
      <c r="Q174" s="10">
        <v>46164</v>
      </c>
      <c r="S174" s="1" t="s">
        <v>66</v>
      </c>
      <c r="T174" s="1" t="s">
        <v>115</v>
      </c>
      <c r="U174" s="1">
        <v>191</v>
      </c>
      <c r="V174" s="1" t="s">
        <v>114</v>
      </c>
      <c r="W174" s="1" t="s">
        <v>35</v>
      </c>
      <c r="X174" s="1" t="s">
        <v>51</v>
      </c>
      <c r="Y174" s="1" t="s">
        <v>37</v>
      </c>
      <c r="Z174" s="9">
        <v>14974.4</v>
      </c>
      <c r="AA174" s="9">
        <v>0</v>
      </c>
      <c r="AB174" s="9">
        <v>14974.4</v>
      </c>
      <c r="AC174" s="9">
        <v>14974.4</v>
      </c>
      <c r="AD174" s="9">
        <v>0</v>
      </c>
      <c r="AE174" s="9">
        <v>0</v>
      </c>
      <c r="AF174" s="9">
        <v>0</v>
      </c>
      <c r="AG174" s="9">
        <v>14974.4</v>
      </c>
      <c r="AH174" s="9">
        <v>0</v>
      </c>
      <c r="AI174" s="9">
        <v>14974.4</v>
      </c>
      <c r="AJ174" s="11">
        <v>1</v>
      </c>
    </row>
    <row r="175" spans="1:36" hidden="1" x14ac:dyDescent="0.3">
      <c r="A175" s="1" t="s">
        <v>59</v>
      </c>
      <c r="B175" s="1">
        <v>218188</v>
      </c>
      <c r="C175" s="1">
        <v>114284</v>
      </c>
      <c r="D175" s="1" t="s">
        <v>60</v>
      </c>
      <c r="E175" s="7" t="s">
        <v>34</v>
      </c>
      <c r="F175" s="7" t="s">
        <v>41</v>
      </c>
      <c r="G175" s="8">
        <f>SUM(Tabela1[[#This Row],[Total em Romaneio]],Tabela1[[#This Row],[Saldo Despacho]])/Tabela1[[#This Row],[Total do Pedido]]</f>
        <v>0</v>
      </c>
      <c r="H175" s="42">
        <f>SUM(Tabela1[[#This Row],[Total em Romaneio]],Tabela1[[#This Row],[Saldo Despacho]])</f>
        <v>0</v>
      </c>
      <c r="I175" s="9">
        <v>14746.38</v>
      </c>
      <c r="J175" s="10">
        <v>46174</v>
      </c>
      <c r="K175" s="2"/>
      <c r="L175" s="8">
        <f>Tabela1[[#This Row],[Saldo Pedido]]/Tabela1[[#This Row],[Total do Pedido]]</f>
        <v>0</v>
      </c>
      <c r="M175" s="8">
        <f>Tabela1[[#This Row],[Total Despachado]]/Tabela1[[#This Row],[Total do Pedido]]</f>
        <v>0.33298341694707451</v>
      </c>
      <c r="N175" s="2">
        <v>46163</v>
      </c>
      <c r="O175" s="2">
        <v>46167</v>
      </c>
      <c r="P175" s="2"/>
      <c r="Q175" s="10">
        <v>46171</v>
      </c>
      <c r="S175" s="1" t="s">
        <v>31</v>
      </c>
      <c r="T175" s="1" t="s">
        <v>32</v>
      </c>
      <c r="U175" s="1">
        <v>12</v>
      </c>
      <c r="V175" s="1" t="s">
        <v>33</v>
      </c>
      <c r="W175" s="1" t="s">
        <v>35</v>
      </c>
      <c r="X175" s="1" t="s">
        <v>52</v>
      </c>
      <c r="Y175" s="1" t="s">
        <v>37</v>
      </c>
      <c r="Z175" s="9">
        <v>14746.38</v>
      </c>
      <c r="AA175" s="9">
        <v>0</v>
      </c>
      <c r="AB175" s="9">
        <v>1199.55</v>
      </c>
      <c r="AC175" s="9">
        <v>1199.55</v>
      </c>
      <c r="AD175" s="9">
        <v>0</v>
      </c>
      <c r="AE175" s="9">
        <v>0</v>
      </c>
      <c r="AF175" s="9">
        <v>4910.3</v>
      </c>
      <c r="AG175" s="9">
        <v>9836.08</v>
      </c>
      <c r="AH175" s="9">
        <v>4910.3</v>
      </c>
      <c r="AI175" s="9">
        <v>0</v>
      </c>
      <c r="AJ175" s="11">
        <v>1</v>
      </c>
    </row>
    <row r="176" spans="1:36" hidden="1" x14ac:dyDescent="0.3">
      <c r="A176" s="1" t="s">
        <v>101</v>
      </c>
      <c r="B176" s="1">
        <v>217839</v>
      </c>
      <c r="C176" s="1"/>
      <c r="D176" s="1" t="s">
        <v>99</v>
      </c>
      <c r="E176" s="7" t="s">
        <v>86</v>
      </c>
      <c r="F176" s="7" t="s">
        <v>87</v>
      </c>
      <c r="G176" s="8">
        <f>SUM(Tabela1[[#This Row],[Total em Romaneio]],Tabela1[[#This Row],[Saldo Despacho]])/Tabela1[[#This Row],[Total do Pedido]]</f>
        <v>0</v>
      </c>
      <c r="H176" s="42">
        <f>SUM(Tabela1[[#This Row],[Total em Romaneio]],Tabela1[[#This Row],[Saldo Despacho]])</f>
        <v>0</v>
      </c>
      <c r="I176" s="9">
        <v>13800</v>
      </c>
      <c r="J176" s="10">
        <v>46160</v>
      </c>
      <c r="K176" s="2"/>
      <c r="L176" s="8">
        <f>Tabela1[[#This Row],[Saldo Pedido]]/Tabela1[[#This Row],[Total do Pedido]]</f>
        <v>1</v>
      </c>
      <c r="M176" s="8">
        <f>Tabela1[[#This Row],[Total Despachado]]/Tabela1[[#This Row],[Total do Pedido]]</f>
        <v>0</v>
      </c>
      <c r="N176" s="2">
        <v>46150</v>
      </c>
      <c r="O176" s="2">
        <v>46150</v>
      </c>
      <c r="P176" s="2"/>
      <c r="S176" s="1" t="s">
        <v>44</v>
      </c>
      <c r="T176" s="1" t="s">
        <v>115</v>
      </c>
      <c r="U176" s="1">
        <v>236</v>
      </c>
      <c r="V176" s="1" t="s">
        <v>85</v>
      </c>
      <c r="W176" s="1" t="s">
        <v>35</v>
      </c>
      <c r="X176" s="1" t="s">
        <v>58</v>
      </c>
      <c r="Y176" s="1" t="s">
        <v>43</v>
      </c>
      <c r="Z176" s="9">
        <v>0</v>
      </c>
      <c r="AA176" s="9">
        <v>13800</v>
      </c>
      <c r="AB176" s="9">
        <v>14330</v>
      </c>
      <c r="AC176" s="9">
        <v>14330</v>
      </c>
      <c r="AD176" s="9">
        <v>0</v>
      </c>
      <c r="AE176" s="9">
        <v>0</v>
      </c>
      <c r="AF176" s="9">
        <v>0</v>
      </c>
      <c r="AG176" s="9">
        <v>13800</v>
      </c>
      <c r="AH176" s="9">
        <v>0</v>
      </c>
      <c r="AI176" s="9">
        <v>0</v>
      </c>
      <c r="AJ176" s="11">
        <v>1</v>
      </c>
    </row>
    <row r="177" spans="1:36" hidden="1" x14ac:dyDescent="0.3">
      <c r="A177" s="1" t="s">
        <v>167</v>
      </c>
      <c r="B177" s="1">
        <v>218358</v>
      </c>
      <c r="C177" s="1"/>
      <c r="D177" s="1" t="s">
        <v>56</v>
      </c>
      <c r="E177" s="7" t="s">
        <v>45</v>
      </c>
      <c r="F177" s="7" t="s">
        <v>171</v>
      </c>
      <c r="G177" s="8">
        <f>SUM(Tabela1[[#This Row],[Total em Romaneio]],Tabela1[[#This Row],[Saldo Despacho]])/Tabela1[[#This Row],[Total do Pedido]]</f>
        <v>0</v>
      </c>
      <c r="H177" s="42">
        <f>SUM(Tabela1[[#This Row],[Total em Romaneio]],Tabela1[[#This Row],[Saldo Despacho]])</f>
        <v>0</v>
      </c>
      <c r="I177" s="9">
        <v>13172.33</v>
      </c>
      <c r="J177" s="10">
        <v>46181</v>
      </c>
      <c r="K177" s="2"/>
      <c r="L177" s="8">
        <f>Tabela1[[#This Row],[Saldo Pedido]]/Tabela1[[#This Row],[Total do Pedido]]</f>
        <v>1</v>
      </c>
      <c r="M177" s="8">
        <f>Tabela1[[#This Row],[Total Despachado]]/Tabela1[[#This Row],[Total do Pedido]]</f>
        <v>0</v>
      </c>
      <c r="N177" s="2">
        <v>46170</v>
      </c>
      <c r="O177" s="2"/>
      <c r="P177" s="2"/>
      <c r="S177" s="1" t="s">
        <v>66</v>
      </c>
      <c r="T177" s="1" t="s">
        <v>38</v>
      </c>
      <c r="U177" s="1">
        <v>12</v>
      </c>
      <c r="V177" s="1" t="s">
        <v>39</v>
      </c>
      <c r="W177" s="1" t="s">
        <v>35</v>
      </c>
      <c r="X177" s="1" t="s">
        <v>42</v>
      </c>
      <c r="Y177" s="1" t="s">
        <v>105</v>
      </c>
      <c r="Z177" s="9">
        <v>0</v>
      </c>
      <c r="AA177" s="9">
        <v>13172.33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13172.33</v>
      </c>
      <c r="AH177" s="9">
        <v>0</v>
      </c>
      <c r="AI177" s="9">
        <v>0</v>
      </c>
      <c r="AJ177" s="11">
        <v>1</v>
      </c>
    </row>
    <row r="178" spans="1:36" hidden="1" x14ac:dyDescent="0.3">
      <c r="A178" s="1" t="s">
        <v>90</v>
      </c>
      <c r="B178" s="1">
        <v>217044</v>
      </c>
      <c r="C178" s="1"/>
      <c r="D178" s="1" t="s">
        <v>56</v>
      </c>
      <c r="E178" s="7" t="s">
        <v>86</v>
      </c>
      <c r="F178" s="7" t="s">
        <v>87</v>
      </c>
      <c r="G178" s="8">
        <f>SUM(Tabela1[[#This Row],[Total em Romaneio]],Tabela1[[#This Row],[Saldo Despacho]])/Tabela1[[#This Row],[Total do Pedido]]</f>
        <v>0</v>
      </c>
      <c r="H178" s="42">
        <f>SUM(Tabela1[[#This Row],[Total em Romaneio]],Tabela1[[#This Row],[Saldo Despacho]])</f>
        <v>0</v>
      </c>
      <c r="I178" s="9">
        <v>12699</v>
      </c>
      <c r="J178" s="10">
        <v>46135</v>
      </c>
      <c r="K178" s="2"/>
      <c r="L178" s="8">
        <f>Tabela1[[#This Row],[Saldo Pedido]]/Tabela1[[#This Row],[Total do Pedido]]</f>
        <v>0.65351602488384908</v>
      </c>
      <c r="M178" s="8">
        <f>Tabela1[[#This Row],[Total Despachado]]/Tabela1[[#This Row],[Total do Pedido]]</f>
        <v>0.34648397511615087</v>
      </c>
      <c r="N178" s="2">
        <v>46125</v>
      </c>
      <c r="O178" s="2">
        <v>46125</v>
      </c>
      <c r="P178" s="2"/>
      <c r="S178" s="1" t="s">
        <v>44</v>
      </c>
      <c r="T178" s="1" t="s">
        <v>115</v>
      </c>
      <c r="U178" s="1">
        <v>236</v>
      </c>
      <c r="V178" s="1" t="s">
        <v>85</v>
      </c>
      <c r="W178" s="1" t="s">
        <v>35</v>
      </c>
      <c r="X178" s="1" t="s">
        <v>58</v>
      </c>
      <c r="Y178" s="1" t="s">
        <v>43</v>
      </c>
      <c r="Z178" s="9">
        <v>4400</v>
      </c>
      <c r="AA178" s="9">
        <v>8299</v>
      </c>
      <c r="AB178" s="9">
        <v>12576</v>
      </c>
      <c r="AC178" s="9">
        <v>12576</v>
      </c>
      <c r="AD178" s="9">
        <v>0</v>
      </c>
      <c r="AE178" s="9">
        <v>0</v>
      </c>
      <c r="AF178" s="9">
        <v>4400</v>
      </c>
      <c r="AG178" s="9">
        <v>8299</v>
      </c>
      <c r="AH178" s="9">
        <v>4400</v>
      </c>
      <c r="AI178" s="9">
        <v>0</v>
      </c>
      <c r="AJ178" s="11">
        <v>1</v>
      </c>
    </row>
    <row r="179" spans="1:36" hidden="1" x14ac:dyDescent="0.3">
      <c r="A179" s="1" t="s">
        <v>102</v>
      </c>
      <c r="B179" s="1">
        <v>215233</v>
      </c>
      <c r="C179" s="1"/>
      <c r="D179" s="1" t="s">
        <v>56</v>
      </c>
      <c r="E179" s="7" t="s">
        <v>86</v>
      </c>
      <c r="F179" s="7" t="s">
        <v>87</v>
      </c>
      <c r="G179" s="8">
        <f>SUM(Tabela1[[#This Row],[Total em Romaneio]],Tabela1[[#This Row],[Saldo Despacho]])/Tabela1[[#This Row],[Total do Pedido]]</f>
        <v>0</v>
      </c>
      <c r="H179" s="42">
        <f>SUM(Tabela1[[#This Row],[Total em Romaneio]],Tabela1[[#This Row],[Saldo Despacho]])</f>
        <v>0</v>
      </c>
      <c r="I179" s="9">
        <v>11900</v>
      </c>
      <c r="J179" s="10">
        <v>46094</v>
      </c>
      <c r="K179" s="2"/>
      <c r="L179" s="8">
        <f>Tabela1[[#This Row],[Saldo Pedido]]/Tabela1[[#This Row],[Total do Pedido]]</f>
        <v>1</v>
      </c>
      <c r="M179" s="8">
        <f>Tabela1[[#This Row],[Total Despachado]]/Tabela1[[#This Row],[Total do Pedido]]</f>
        <v>0</v>
      </c>
      <c r="N179" s="2">
        <v>46066</v>
      </c>
      <c r="O179" s="2">
        <v>46066</v>
      </c>
      <c r="P179" s="2"/>
      <c r="S179" s="1" t="s">
        <v>44</v>
      </c>
      <c r="T179" s="1" t="s">
        <v>38</v>
      </c>
      <c r="U179" s="1">
        <v>236</v>
      </c>
      <c r="V179" s="1" t="s">
        <v>85</v>
      </c>
      <c r="X179" s="1" t="s">
        <v>58</v>
      </c>
      <c r="Y179" s="1" t="s">
        <v>43</v>
      </c>
      <c r="Z179" s="9">
        <v>0</v>
      </c>
      <c r="AA179" s="9">
        <v>11900</v>
      </c>
      <c r="AB179" s="9">
        <v>17290</v>
      </c>
      <c r="AC179" s="9">
        <v>17290</v>
      </c>
      <c r="AD179" s="9">
        <v>0</v>
      </c>
      <c r="AE179" s="9">
        <v>0</v>
      </c>
      <c r="AF179" s="9">
        <v>0</v>
      </c>
      <c r="AG179" s="9">
        <v>11900</v>
      </c>
      <c r="AH179" s="9">
        <v>0</v>
      </c>
      <c r="AI179" s="9">
        <v>0</v>
      </c>
      <c r="AJ179" s="11">
        <v>1</v>
      </c>
    </row>
    <row r="180" spans="1:36" hidden="1" x14ac:dyDescent="0.3">
      <c r="A180" s="1" t="s">
        <v>90</v>
      </c>
      <c r="B180" s="1">
        <v>216948</v>
      </c>
      <c r="C180" s="1"/>
      <c r="D180" s="1" t="s">
        <v>56</v>
      </c>
      <c r="E180" s="7" t="s">
        <v>86</v>
      </c>
      <c r="F180" s="7" t="s">
        <v>87</v>
      </c>
      <c r="G180" s="8">
        <f>SUM(Tabela1[[#This Row],[Total em Romaneio]],Tabela1[[#This Row],[Saldo Despacho]])/Tabela1[[#This Row],[Total do Pedido]]</f>
        <v>0</v>
      </c>
      <c r="H180" s="42">
        <f>SUM(Tabela1[[#This Row],[Total em Romaneio]],Tabela1[[#This Row],[Saldo Despacho]])</f>
        <v>0</v>
      </c>
      <c r="I180" s="9">
        <v>11250</v>
      </c>
      <c r="J180" s="10">
        <v>46131</v>
      </c>
      <c r="K180" s="2"/>
      <c r="L180" s="8">
        <f>Tabela1[[#This Row],[Saldo Pedido]]/Tabela1[[#This Row],[Total do Pedido]]</f>
        <v>1</v>
      </c>
      <c r="M180" s="8">
        <f>Tabela1[[#This Row],[Total Despachado]]/Tabela1[[#This Row],[Total do Pedido]]</f>
        <v>0</v>
      </c>
      <c r="N180" s="2">
        <v>46121</v>
      </c>
      <c r="O180" s="2">
        <v>46121</v>
      </c>
      <c r="P180" s="2"/>
      <c r="S180" s="1" t="s">
        <v>44</v>
      </c>
      <c r="T180" s="1" t="s">
        <v>115</v>
      </c>
      <c r="U180" s="1">
        <v>236</v>
      </c>
      <c r="V180" s="1" t="s">
        <v>39</v>
      </c>
      <c r="W180" s="1" t="s">
        <v>35</v>
      </c>
      <c r="X180" s="1" t="s">
        <v>58</v>
      </c>
      <c r="Y180" s="1" t="s">
        <v>43</v>
      </c>
      <c r="Z180" s="9">
        <v>0</v>
      </c>
      <c r="AA180" s="9">
        <v>11250</v>
      </c>
      <c r="AB180" s="9">
        <v>7650</v>
      </c>
      <c r="AC180" s="9">
        <v>7650</v>
      </c>
      <c r="AD180" s="9">
        <v>0</v>
      </c>
      <c r="AE180" s="9">
        <v>0</v>
      </c>
      <c r="AF180" s="9">
        <v>0</v>
      </c>
      <c r="AG180" s="9">
        <v>11250</v>
      </c>
      <c r="AH180" s="9">
        <v>0</v>
      </c>
      <c r="AI180" s="9">
        <v>0</v>
      </c>
      <c r="AJ180" s="11">
        <v>1</v>
      </c>
    </row>
    <row r="181" spans="1:36" hidden="1" x14ac:dyDescent="0.3">
      <c r="A181" s="1" t="s">
        <v>53</v>
      </c>
      <c r="B181" s="1">
        <v>217933</v>
      </c>
      <c r="C181" s="1"/>
      <c r="D181" s="1" t="s">
        <v>54</v>
      </c>
      <c r="E181" s="7" t="s">
        <v>63</v>
      </c>
      <c r="F181" s="7" t="s">
        <v>41</v>
      </c>
      <c r="G181" s="8">
        <f>SUM(Tabela1[[#This Row],[Total em Romaneio]],Tabela1[[#This Row],[Saldo Despacho]])/Tabela1[[#This Row],[Total do Pedido]]</f>
        <v>0</v>
      </c>
      <c r="H181" s="42">
        <f>SUM(Tabela1[[#This Row],[Total em Romaneio]],Tabela1[[#This Row],[Saldo Despacho]])</f>
        <v>0</v>
      </c>
      <c r="I181" s="9">
        <v>11206.58</v>
      </c>
      <c r="J181" s="10">
        <v>46169</v>
      </c>
      <c r="K181" s="2"/>
      <c r="L181" s="8">
        <f>Tabela1[[#This Row],[Saldo Pedido]]/Tabela1[[#This Row],[Total do Pedido]]</f>
        <v>0.11164869210767246</v>
      </c>
      <c r="M181" s="8">
        <f>Tabela1[[#This Row],[Total Despachado]]/Tabela1[[#This Row],[Total do Pedido]]</f>
        <v>0.88835130789232752</v>
      </c>
      <c r="N181" s="2">
        <v>46155</v>
      </c>
      <c r="O181" s="2">
        <v>46161</v>
      </c>
      <c r="P181" s="2"/>
      <c r="Q181" s="10">
        <v>46164</v>
      </c>
      <c r="R181" s="10">
        <v>46163</v>
      </c>
      <c r="S181" s="1" t="s">
        <v>31</v>
      </c>
      <c r="T181" s="1" t="s">
        <v>133</v>
      </c>
      <c r="U181" s="1">
        <v>12</v>
      </c>
      <c r="V181" s="1" t="s">
        <v>49</v>
      </c>
      <c r="W181" s="1" t="s">
        <v>35</v>
      </c>
      <c r="X181" s="1" t="s">
        <v>51</v>
      </c>
      <c r="Y181" s="1" t="s">
        <v>43</v>
      </c>
      <c r="Z181" s="9">
        <v>9955.3799999999992</v>
      </c>
      <c r="AA181" s="9">
        <v>1251.2</v>
      </c>
      <c r="AB181" s="9">
        <v>292.24</v>
      </c>
      <c r="AC181" s="9">
        <v>292.24</v>
      </c>
      <c r="AD181" s="9">
        <v>0</v>
      </c>
      <c r="AE181" s="9">
        <v>0</v>
      </c>
      <c r="AF181" s="9">
        <v>9955.3799999999992</v>
      </c>
      <c r="AG181" s="9">
        <v>1251.2</v>
      </c>
      <c r="AH181" s="9">
        <v>9955.3799999999992</v>
      </c>
      <c r="AI181" s="9">
        <v>0</v>
      </c>
      <c r="AJ181" s="11">
        <v>1</v>
      </c>
    </row>
    <row r="182" spans="1:36" hidden="1" x14ac:dyDescent="0.3">
      <c r="A182" s="1" t="s">
        <v>101</v>
      </c>
      <c r="B182" s="1">
        <v>215288</v>
      </c>
      <c r="C182" s="1"/>
      <c r="D182" s="1" t="s">
        <v>99</v>
      </c>
      <c r="E182" s="7" t="s">
        <v>86</v>
      </c>
      <c r="F182" s="7" t="s">
        <v>87</v>
      </c>
      <c r="G182" s="8">
        <f>SUM(Tabela1[[#This Row],[Total em Romaneio]],Tabela1[[#This Row],[Saldo Despacho]])/Tabela1[[#This Row],[Total do Pedido]]</f>
        <v>0</v>
      </c>
      <c r="H182" s="42">
        <f>SUM(Tabela1[[#This Row],[Total em Romaneio]],Tabela1[[#This Row],[Saldo Despacho]])</f>
        <v>0</v>
      </c>
      <c r="I182" s="9">
        <v>11200</v>
      </c>
      <c r="J182" s="10">
        <v>46107</v>
      </c>
      <c r="K182" s="2"/>
      <c r="L182" s="8">
        <f>Tabela1[[#This Row],[Saldo Pedido]]/Tabela1[[#This Row],[Total do Pedido]]</f>
        <v>1</v>
      </c>
      <c r="M182" s="8">
        <f>Tabela1[[#This Row],[Total Despachado]]/Tabela1[[#This Row],[Total do Pedido]]</f>
        <v>0</v>
      </c>
      <c r="N182" s="2">
        <v>46066</v>
      </c>
      <c r="O182" s="2">
        <v>46066</v>
      </c>
      <c r="P182" s="2"/>
      <c r="S182" s="1" t="s">
        <v>44</v>
      </c>
      <c r="T182" s="1" t="s">
        <v>38</v>
      </c>
      <c r="U182" s="1">
        <v>236</v>
      </c>
      <c r="V182" s="1" t="s">
        <v>85</v>
      </c>
      <c r="X182" s="1" t="s">
        <v>58</v>
      </c>
      <c r="Y182" s="1" t="s">
        <v>43</v>
      </c>
      <c r="Z182" s="9">
        <v>0</v>
      </c>
      <c r="AA182" s="9">
        <v>11200</v>
      </c>
      <c r="AB182" s="9">
        <v>11200</v>
      </c>
      <c r="AC182" s="9">
        <v>11200</v>
      </c>
      <c r="AD182" s="9">
        <v>0</v>
      </c>
      <c r="AE182" s="9">
        <v>0</v>
      </c>
      <c r="AF182" s="9">
        <v>0</v>
      </c>
      <c r="AG182" s="9">
        <v>11200</v>
      </c>
      <c r="AH182" s="9">
        <v>0</v>
      </c>
      <c r="AI182" s="9">
        <v>0</v>
      </c>
      <c r="AJ182" s="11">
        <v>1</v>
      </c>
    </row>
    <row r="183" spans="1:36" hidden="1" x14ac:dyDescent="0.3">
      <c r="A183" s="1" t="s">
        <v>90</v>
      </c>
      <c r="B183" s="1">
        <v>216870</v>
      </c>
      <c r="C183" s="1"/>
      <c r="D183" s="1" t="s">
        <v>56</v>
      </c>
      <c r="E183" s="7" t="s">
        <v>86</v>
      </c>
      <c r="F183" s="7" t="s">
        <v>87</v>
      </c>
      <c r="G183" s="8">
        <f>SUM(Tabela1[[#This Row],[Total em Romaneio]],Tabela1[[#This Row],[Saldo Despacho]])/Tabela1[[#This Row],[Total do Pedido]]</f>
        <v>0</v>
      </c>
      <c r="H183" s="42">
        <f>SUM(Tabela1[[#This Row],[Total em Romaneio]],Tabela1[[#This Row],[Saldo Despacho]])</f>
        <v>0</v>
      </c>
      <c r="I183" s="9">
        <v>10977.01</v>
      </c>
      <c r="J183" s="10">
        <v>46130</v>
      </c>
      <c r="K183" s="2"/>
      <c r="L183" s="8">
        <f>Tabela1[[#This Row],[Saldo Pedido]]/Tabela1[[#This Row],[Total do Pedido]]</f>
        <v>1</v>
      </c>
      <c r="M183" s="8">
        <f>Tabela1[[#This Row],[Total Despachado]]/Tabela1[[#This Row],[Total do Pedido]]</f>
        <v>0</v>
      </c>
      <c r="N183" s="2">
        <v>46120</v>
      </c>
      <c r="O183" s="2">
        <v>46120</v>
      </c>
      <c r="P183" s="2"/>
      <c r="S183" s="1" t="s">
        <v>44</v>
      </c>
      <c r="T183" s="1" t="s">
        <v>115</v>
      </c>
      <c r="U183" s="1">
        <v>236</v>
      </c>
      <c r="V183" s="1" t="s">
        <v>39</v>
      </c>
      <c r="W183" s="1" t="s">
        <v>35</v>
      </c>
      <c r="X183" s="1" t="s">
        <v>58</v>
      </c>
      <c r="Y183" s="1" t="s">
        <v>43</v>
      </c>
      <c r="Z183" s="9">
        <v>0</v>
      </c>
      <c r="AA183" s="9">
        <v>10977.01</v>
      </c>
      <c r="AB183" s="9">
        <v>10243</v>
      </c>
      <c r="AC183" s="9">
        <v>10243</v>
      </c>
      <c r="AD183" s="9">
        <v>0</v>
      </c>
      <c r="AE183" s="9">
        <v>0</v>
      </c>
      <c r="AF183" s="9">
        <v>0</v>
      </c>
      <c r="AG183" s="9">
        <v>10977.01</v>
      </c>
      <c r="AH183" s="9">
        <v>0</v>
      </c>
      <c r="AI183" s="9">
        <v>0</v>
      </c>
      <c r="AJ183" s="11">
        <v>1</v>
      </c>
    </row>
    <row r="184" spans="1:36" hidden="1" x14ac:dyDescent="0.3">
      <c r="A184" s="1" t="s">
        <v>96</v>
      </c>
      <c r="B184" s="1">
        <v>217693</v>
      </c>
      <c r="C184" s="1"/>
      <c r="D184" s="1" t="s">
        <v>97</v>
      </c>
      <c r="E184" s="7" t="s">
        <v>63</v>
      </c>
      <c r="F184" s="7" t="s">
        <v>41</v>
      </c>
      <c r="G184" s="8">
        <f>SUM(Tabela1[[#This Row],[Total em Romaneio]],Tabela1[[#This Row],[Saldo Despacho]])/Tabela1[[#This Row],[Total do Pedido]]</f>
        <v>0</v>
      </c>
      <c r="H184" s="42">
        <f>SUM(Tabela1[[#This Row],[Total em Romaneio]],Tabela1[[#This Row],[Saldo Despacho]])</f>
        <v>0</v>
      </c>
      <c r="I184" s="9">
        <v>10583</v>
      </c>
      <c r="J184" s="10">
        <v>46171</v>
      </c>
      <c r="K184" s="2"/>
      <c r="L184" s="8">
        <f>Tabela1[[#This Row],[Saldo Pedido]]/Tabela1[[#This Row],[Total do Pedido]]</f>
        <v>1</v>
      </c>
      <c r="M184" s="8">
        <f>Tabela1[[#This Row],[Total Despachado]]/Tabela1[[#This Row],[Total do Pedido]]</f>
        <v>0</v>
      </c>
      <c r="N184" s="2">
        <v>46148</v>
      </c>
      <c r="O184" s="2">
        <v>46149</v>
      </c>
      <c r="P184" s="2">
        <v>46171</v>
      </c>
      <c r="R184" s="10">
        <v>46183</v>
      </c>
      <c r="S184" s="1" t="s">
        <v>31</v>
      </c>
      <c r="T184" s="1" t="s">
        <v>38</v>
      </c>
      <c r="U184" s="1">
        <v>12</v>
      </c>
      <c r="V184" s="1" t="s">
        <v>98</v>
      </c>
      <c r="W184" s="1" t="s">
        <v>35</v>
      </c>
      <c r="X184" s="1" t="s">
        <v>58</v>
      </c>
      <c r="Y184" s="1" t="s">
        <v>43</v>
      </c>
      <c r="Z184" s="9">
        <v>0</v>
      </c>
      <c r="AA184" s="9">
        <v>10583</v>
      </c>
      <c r="AB184" s="9">
        <v>5347.2</v>
      </c>
      <c r="AC184" s="9">
        <v>5347.2</v>
      </c>
      <c r="AD184" s="9">
        <v>0</v>
      </c>
      <c r="AE184" s="9">
        <v>0</v>
      </c>
      <c r="AF184" s="9">
        <v>0</v>
      </c>
      <c r="AG184" s="9">
        <v>10583</v>
      </c>
      <c r="AH184" s="9">
        <v>0</v>
      </c>
      <c r="AI184" s="9">
        <v>0</v>
      </c>
      <c r="AJ184" s="11">
        <v>1</v>
      </c>
    </row>
    <row r="185" spans="1:36" hidden="1" x14ac:dyDescent="0.3">
      <c r="A185" s="1" t="s">
        <v>117</v>
      </c>
      <c r="B185" s="1">
        <v>216807</v>
      </c>
      <c r="C185" s="1"/>
      <c r="D185" s="1" t="s">
        <v>56</v>
      </c>
      <c r="E185" s="7" t="s">
        <v>86</v>
      </c>
      <c r="F185" s="7" t="s">
        <v>87</v>
      </c>
      <c r="G185" s="8">
        <f>SUM(Tabela1[[#This Row],[Total em Romaneio]],Tabela1[[#This Row],[Saldo Despacho]])/Tabela1[[#This Row],[Total do Pedido]]</f>
        <v>0</v>
      </c>
      <c r="H185" s="42">
        <f>SUM(Tabela1[[#This Row],[Total em Romaneio]],Tabela1[[#This Row],[Saldo Despacho]])</f>
        <v>0</v>
      </c>
      <c r="I185" s="9">
        <v>10266</v>
      </c>
      <c r="J185" s="10">
        <v>46129</v>
      </c>
      <c r="K185" s="2"/>
      <c r="L185" s="8">
        <f>Tabela1[[#This Row],[Saldo Pedido]]/Tabela1[[#This Row],[Total do Pedido]]</f>
        <v>0.59180790960451979</v>
      </c>
      <c r="M185" s="8">
        <f>Tabela1[[#This Row],[Total Despachado]]/Tabela1[[#This Row],[Total do Pedido]]</f>
        <v>0.40819209039548021</v>
      </c>
      <c r="N185" s="2">
        <v>46119</v>
      </c>
      <c r="O185" s="2">
        <v>46119</v>
      </c>
      <c r="P185" s="2"/>
      <c r="Q185" s="10">
        <v>46150</v>
      </c>
      <c r="S185" s="1" t="s">
        <v>44</v>
      </c>
      <c r="T185" s="1" t="s">
        <v>115</v>
      </c>
      <c r="U185" s="1">
        <v>236</v>
      </c>
      <c r="V185" s="1" t="s">
        <v>85</v>
      </c>
      <c r="W185" s="1" t="s">
        <v>35</v>
      </c>
      <c r="X185" s="1" t="s">
        <v>51</v>
      </c>
      <c r="Y185" s="1" t="s">
        <v>43</v>
      </c>
      <c r="Z185" s="9">
        <v>4190.5</v>
      </c>
      <c r="AA185" s="9">
        <v>6075.5</v>
      </c>
      <c r="AB185" s="9">
        <v>10584.6</v>
      </c>
      <c r="AC185" s="9">
        <v>10584.6</v>
      </c>
      <c r="AD185" s="9">
        <v>0</v>
      </c>
      <c r="AE185" s="9">
        <v>0</v>
      </c>
      <c r="AF185" s="9">
        <v>4190.5</v>
      </c>
      <c r="AG185" s="9">
        <v>6075.5</v>
      </c>
      <c r="AH185" s="9">
        <v>4190.5</v>
      </c>
      <c r="AI185" s="9">
        <v>0</v>
      </c>
      <c r="AJ185" s="11">
        <v>1</v>
      </c>
    </row>
    <row r="186" spans="1:36" hidden="1" x14ac:dyDescent="0.3">
      <c r="A186" s="1" t="s">
        <v>142</v>
      </c>
      <c r="B186" s="1">
        <v>218278</v>
      </c>
      <c r="C186" s="1"/>
      <c r="D186" s="1" t="s">
        <v>140</v>
      </c>
      <c r="E186" s="7" t="s">
        <v>45</v>
      </c>
      <c r="F186" s="7" t="s">
        <v>41</v>
      </c>
      <c r="G186" s="8">
        <f>SUM(Tabela1[[#This Row],[Total em Romaneio]],Tabela1[[#This Row],[Saldo Despacho]])/Tabela1[[#This Row],[Total do Pedido]]</f>
        <v>0</v>
      </c>
      <c r="H186" s="42">
        <f>SUM(Tabela1[[#This Row],[Total em Romaneio]],Tabela1[[#This Row],[Saldo Despacho]])</f>
        <v>0</v>
      </c>
      <c r="I186" s="9">
        <v>9685.91</v>
      </c>
      <c r="J186" s="10">
        <v>46169</v>
      </c>
      <c r="K186" s="2"/>
      <c r="L186" s="8">
        <f>Tabela1[[#This Row],[Saldo Pedido]]/Tabela1[[#This Row],[Total do Pedido]]</f>
        <v>7.5367208656698236E-4</v>
      </c>
      <c r="M186" s="8">
        <f>Tabela1[[#This Row],[Total Despachado]]/Tabela1[[#This Row],[Total do Pedido]]</f>
        <v>0.98768726944603036</v>
      </c>
      <c r="N186" s="2">
        <v>46168</v>
      </c>
      <c r="O186" s="2">
        <v>46168</v>
      </c>
      <c r="P186" s="2"/>
      <c r="S186" s="1" t="s">
        <v>31</v>
      </c>
      <c r="T186" s="1" t="s">
        <v>38</v>
      </c>
      <c r="U186" s="1">
        <v>12</v>
      </c>
      <c r="V186" s="1" t="s">
        <v>39</v>
      </c>
      <c r="W186" s="1" t="s">
        <v>35</v>
      </c>
      <c r="X186" s="1" t="s">
        <v>36</v>
      </c>
      <c r="Y186" s="1" t="s">
        <v>43</v>
      </c>
      <c r="Z186" s="9">
        <v>9678.61</v>
      </c>
      <c r="AA186" s="9">
        <v>7.3</v>
      </c>
      <c r="AB186" s="9">
        <v>3.58</v>
      </c>
      <c r="AC186" s="9">
        <v>0</v>
      </c>
      <c r="AD186" s="9">
        <v>3.58</v>
      </c>
      <c r="AE186" s="9">
        <v>0</v>
      </c>
      <c r="AF186" s="9">
        <v>9566.65</v>
      </c>
      <c r="AG186" s="9">
        <v>119.26</v>
      </c>
      <c r="AH186" s="9">
        <v>9566.65</v>
      </c>
      <c r="AI186" s="9">
        <v>0</v>
      </c>
      <c r="AJ186" s="11">
        <v>1</v>
      </c>
    </row>
    <row r="187" spans="1:36" hidden="1" x14ac:dyDescent="0.3">
      <c r="A187" s="1" t="s">
        <v>90</v>
      </c>
      <c r="B187" s="1">
        <v>216950</v>
      </c>
      <c r="C187" s="1"/>
      <c r="D187" s="1" t="s">
        <v>56</v>
      </c>
      <c r="E187" s="7" t="s">
        <v>86</v>
      </c>
      <c r="F187" s="7" t="s">
        <v>87</v>
      </c>
      <c r="G187" s="8">
        <f>SUM(Tabela1[[#This Row],[Total em Romaneio]],Tabela1[[#This Row],[Saldo Despacho]])/Tabela1[[#This Row],[Total do Pedido]]</f>
        <v>0</v>
      </c>
      <c r="H187" s="42">
        <f>SUM(Tabela1[[#This Row],[Total em Romaneio]],Tabela1[[#This Row],[Saldo Despacho]])</f>
        <v>0</v>
      </c>
      <c r="I187" s="9">
        <v>9647.4699999999993</v>
      </c>
      <c r="J187" s="10">
        <v>46131</v>
      </c>
      <c r="K187" s="2"/>
      <c r="L187" s="8">
        <f>Tabela1[[#This Row],[Saldo Pedido]]/Tabela1[[#This Row],[Total do Pedido]]</f>
        <v>1</v>
      </c>
      <c r="M187" s="8">
        <f>Tabela1[[#This Row],[Total Despachado]]/Tabela1[[#This Row],[Total do Pedido]]</f>
        <v>0</v>
      </c>
      <c r="N187" s="2">
        <v>46121</v>
      </c>
      <c r="O187" s="2">
        <v>46121</v>
      </c>
      <c r="P187" s="2"/>
      <c r="S187" s="1" t="s">
        <v>44</v>
      </c>
      <c r="T187" s="1" t="s">
        <v>115</v>
      </c>
      <c r="U187" s="1">
        <v>236</v>
      </c>
      <c r="V187" s="1" t="s">
        <v>39</v>
      </c>
      <c r="W187" s="1" t="s">
        <v>35</v>
      </c>
      <c r="X187" s="1" t="s">
        <v>58</v>
      </c>
      <c r="Y187" s="1" t="s">
        <v>43</v>
      </c>
      <c r="Z187" s="9">
        <v>0</v>
      </c>
      <c r="AA187" s="9">
        <v>9647.4699999999993</v>
      </c>
      <c r="AB187" s="9">
        <v>6942.6</v>
      </c>
      <c r="AC187" s="9">
        <v>6942.6</v>
      </c>
      <c r="AD187" s="9">
        <v>0</v>
      </c>
      <c r="AE187" s="9">
        <v>0</v>
      </c>
      <c r="AF187" s="9">
        <v>0</v>
      </c>
      <c r="AG187" s="9">
        <v>9647.4699999999993</v>
      </c>
      <c r="AH187" s="9">
        <v>0</v>
      </c>
      <c r="AI187" s="9">
        <v>0</v>
      </c>
      <c r="AJ187" s="11">
        <v>1</v>
      </c>
    </row>
    <row r="188" spans="1:36" hidden="1" x14ac:dyDescent="0.3">
      <c r="A188" s="1" t="s">
        <v>142</v>
      </c>
      <c r="B188" s="1">
        <v>218147</v>
      </c>
      <c r="C188" s="1"/>
      <c r="D188" s="1" t="s">
        <v>140</v>
      </c>
      <c r="E188" s="7" t="s">
        <v>34</v>
      </c>
      <c r="F188" s="7" t="s">
        <v>100</v>
      </c>
      <c r="G188" s="8">
        <f>SUM(Tabela1[[#This Row],[Total em Romaneio]],Tabela1[[#This Row],[Saldo Despacho]])/Tabela1[[#This Row],[Total do Pedido]]</f>
        <v>0</v>
      </c>
      <c r="H188" s="42">
        <f>SUM(Tabela1[[#This Row],[Total em Romaneio]],Tabela1[[#This Row],[Saldo Despacho]])</f>
        <v>0</v>
      </c>
      <c r="I188" s="9">
        <v>7644.07</v>
      </c>
      <c r="J188" s="10">
        <v>46174</v>
      </c>
      <c r="K188" s="2"/>
      <c r="L188" s="8">
        <f>Tabela1[[#This Row],[Saldo Pedido]]/Tabela1[[#This Row],[Total do Pedido]]</f>
        <v>0.10015606869115537</v>
      </c>
      <c r="M188" s="8">
        <f>Tabela1[[#This Row],[Total Despachado]]/Tabela1[[#This Row],[Total do Pedido]]</f>
        <v>0.89984393130884466</v>
      </c>
      <c r="N188" s="2">
        <v>46162</v>
      </c>
      <c r="O188" s="2">
        <v>46163</v>
      </c>
      <c r="P188" s="2"/>
      <c r="Q188" s="10">
        <v>46170</v>
      </c>
      <c r="R188" s="10">
        <v>46168</v>
      </c>
      <c r="S188" s="1" t="s">
        <v>31</v>
      </c>
      <c r="T188" s="1" t="s">
        <v>38</v>
      </c>
      <c r="U188" s="1">
        <v>12</v>
      </c>
      <c r="V188" s="1" t="s">
        <v>39</v>
      </c>
      <c r="W188" s="1" t="s">
        <v>35</v>
      </c>
      <c r="X188" s="1" t="s">
        <v>51</v>
      </c>
      <c r="Y188" s="1" t="s">
        <v>43</v>
      </c>
      <c r="Z188" s="9">
        <v>6878.47</v>
      </c>
      <c r="AA188" s="9">
        <v>765.6</v>
      </c>
      <c r="AB188" s="9">
        <v>1121.5</v>
      </c>
      <c r="AC188" s="9">
        <v>1121.5</v>
      </c>
      <c r="AD188" s="9">
        <v>0</v>
      </c>
      <c r="AE188" s="9">
        <v>0</v>
      </c>
      <c r="AF188" s="9">
        <v>6878.47</v>
      </c>
      <c r="AG188" s="9">
        <v>765.6</v>
      </c>
      <c r="AH188" s="9">
        <v>6878.47</v>
      </c>
      <c r="AI188" s="9">
        <v>0</v>
      </c>
      <c r="AJ188" s="11">
        <v>1</v>
      </c>
    </row>
    <row r="189" spans="1:36" hidden="1" x14ac:dyDescent="0.3">
      <c r="A189" s="1" t="s">
        <v>53</v>
      </c>
      <c r="B189" s="1">
        <v>218343</v>
      </c>
      <c r="C189" s="1"/>
      <c r="D189" s="1" t="s">
        <v>54</v>
      </c>
      <c r="E189" s="7" t="s">
        <v>57</v>
      </c>
      <c r="F189" s="7" t="s">
        <v>120</v>
      </c>
      <c r="G189" s="8">
        <f>SUM(Tabela1[[#This Row],[Total em Romaneio]],Tabela1[[#This Row],[Saldo Despacho]])/Tabela1[[#This Row],[Total do Pedido]]</f>
        <v>0</v>
      </c>
      <c r="H189" s="42">
        <f>SUM(Tabela1[[#This Row],[Total em Romaneio]],Tabela1[[#This Row],[Saldo Despacho]])</f>
        <v>0</v>
      </c>
      <c r="I189" s="9">
        <v>7547.75</v>
      </c>
      <c r="J189" s="10">
        <v>46176</v>
      </c>
      <c r="K189" s="2"/>
      <c r="L189" s="8">
        <f>Tabela1[[#This Row],[Saldo Pedido]]/Tabela1[[#This Row],[Total do Pedido]]</f>
        <v>0</v>
      </c>
      <c r="M189" s="8">
        <f>Tabela1[[#This Row],[Total Despachado]]/Tabela1[[#This Row],[Total do Pedido]]</f>
        <v>0</v>
      </c>
      <c r="N189" s="2">
        <v>46170</v>
      </c>
      <c r="O189" s="2">
        <v>46170</v>
      </c>
      <c r="P189" s="2"/>
      <c r="S189" s="1" t="s">
        <v>31</v>
      </c>
      <c r="T189" s="1" t="s">
        <v>38</v>
      </c>
      <c r="U189" s="1">
        <v>12</v>
      </c>
      <c r="V189" s="1" t="s">
        <v>49</v>
      </c>
      <c r="W189" s="1" t="s">
        <v>35</v>
      </c>
      <c r="X189" s="1" t="s">
        <v>42</v>
      </c>
      <c r="Y189" s="1" t="s">
        <v>37</v>
      </c>
      <c r="Z189" s="9">
        <v>7547.75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7547.75</v>
      </c>
      <c r="AH189" s="9">
        <v>0</v>
      </c>
      <c r="AI189" s="9">
        <v>0</v>
      </c>
      <c r="AJ189" s="11">
        <v>1</v>
      </c>
    </row>
    <row r="190" spans="1:36" hidden="1" x14ac:dyDescent="0.3">
      <c r="A190" s="1" t="s">
        <v>53</v>
      </c>
      <c r="B190" s="1">
        <v>217919</v>
      </c>
      <c r="C190" s="1"/>
      <c r="D190" s="1" t="s">
        <v>54</v>
      </c>
      <c r="E190" s="7" t="s">
        <v>63</v>
      </c>
      <c r="F190" s="7" t="s">
        <v>41</v>
      </c>
      <c r="G190" s="8">
        <f>SUM(Tabela1[[#This Row],[Total em Romaneio]],Tabela1[[#This Row],[Saldo Despacho]])/Tabela1[[#This Row],[Total do Pedido]]</f>
        <v>0</v>
      </c>
      <c r="H190" s="42">
        <f>SUM(Tabela1[[#This Row],[Total em Romaneio]],Tabela1[[#This Row],[Saldo Despacho]])</f>
        <v>0</v>
      </c>
      <c r="I190" s="9">
        <v>7343.71</v>
      </c>
      <c r="J190" s="10">
        <v>46182</v>
      </c>
      <c r="K190" s="2"/>
      <c r="L190" s="8">
        <f>Tabela1[[#This Row],[Saldo Pedido]]/Tabela1[[#This Row],[Total do Pedido]]</f>
        <v>0</v>
      </c>
      <c r="M190" s="8">
        <f>Tabela1[[#This Row],[Total Despachado]]/Tabela1[[#This Row],[Total do Pedido]]</f>
        <v>0</v>
      </c>
      <c r="N190" s="2">
        <v>46154</v>
      </c>
      <c r="O190" s="2">
        <v>46156</v>
      </c>
      <c r="P190" s="2"/>
      <c r="Q190" s="10">
        <v>46171</v>
      </c>
      <c r="R190" s="10">
        <v>46171</v>
      </c>
      <c r="S190" s="1" t="s">
        <v>31</v>
      </c>
      <c r="T190" s="1" t="s">
        <v>133</v>
      </c>
      <c r="U190" s="1">
        <v>12</v>
      </c>
      <c r="V190" s="1" t="s">
        <v>49</v>
      </c>
      <c r="W190" s="1" t="s">
        <v>35</v>
      </c>
      <c r="X190" s="1" t="s">
        <v>51</v>
      </c>
      <c r="Y190" s="1" t="s">
        <v>37</v>
      </c>
      <c r="Z190" s="9">
        <v>7343.71</v>
      </c>
      <c r="AA190" s="9">
        <v>0</v>
      </c>
      <c r="AB190" s="9">
        <v>2644</v>
      </c>
      <c r="AC190" s="9">
        <v>2644</v>
      </c>
      <c r="AD190" s="9">
        <v>0</v>
      </c>
      <c r="AE190" s="9">
        <v>0</v>
      </c>
      <c r="AF190" s="9">
        <v>0</v>
      </c>
      <c r="AG190" s="9">
        <v>7343.71</v>
      </c>
      <c r="AH190" s="9">
        <v>0</v>
      </c>
      <c r="AI190" s="9">
        <v>0</v>
      </c>
      <c r="AJ190" s="11">
        <v>1</v>
      </c>
    </row>
    <row r="191" spans="1:36" hidden="1" x14ac:dyDescent="0.3">
      <c r="A191" s="1" t="s">
        <v>59</v>
      </c>
      <c r="B191" s="1">
        <v>218186</v>
      </c>
      <c r="C191" s="1">
        <v>114283</v>
      </c>
      <c r="D191" s="1" t="s">
        <v>60</v>
      </c>
      <c r="E191" s="7" t="s">
        <v>34</v>
      </c>
      <c r="F191" s="7" t="s">
        <v>41</v>
      </c>
      <c r="G191" s="8">
        <f>SUM(Tabela1[[#This Row],[Total em Romaneio]],Tabela1[[#This Row],[Saldo Despacho]])/Tabela1[[#This Row],[Total do Pedido]]</f>
        <v>0</v>
      </c>
      <c r="H191" s="42">
        <f>SUM(Tabela1[[#This Row],[Total em Romaneio]],Tabela1[[#This Row],[Saldo Despacho]])</f>
        <v>0</v>
      </c>
      <c r="I191" s="9">
        <v>6797.37</v>
      </c>
      <c r="J191" s="10">
        <v>46174</v>
      </c>
      <c r="K191" s="2"/>
      <c r="L191" s="8">
        <f>Tabela1[[#This Row],[Saldo Pedido]]/Tabela1[[#This Row],[Total do Pedido]]</f>
        <v>1.9787064702966001E-2</v>
      </c>
      <c r="M191" s="8">
        <f>Tabela1[[#This Row],[Total Despachado]]/Tabela1[[#This Row],[Total do Pedido]]</f>
        <v>0.32266891459490954</v>
      </c>
      <c r="N191" s="2">
        <v>46163</v>
      </c>
      <c r="O191" s="2">
        <v>46167</v>
      </c>
      <c r="P191" s="2"/>
      <c r="Q191" s="10">
        <v>46171</v>
      </c>
      <c r="S191" s="1" t="s">
        <v>31</v>
      </c>
      <c r="T191" s="1" t="s">
        <v>32</v>
      </c>
      <c r="U191" s="1">
        <v>12</v>
      </c>
      <c r="V191" s="1" t="s">
        <v>33</v>
      </c>
      <c r="W191" s="1" t="s">
        <v>35</v>
      </c>
      <c r="X191" s="1" t="s">
        <v>52</v>
      </c>
      <c r="Y191" s="1" t="s">
        <v>43</v>
      </c>
      <c r="Z191" s="9">
        <v>6662.87</v>
      </c>
      <c r="AA191" s="9">
        <v>134.5</v>
      </c>
      <c r="AB191" s="9">
        <v>596.03</v>
      </c>
      <c r="AC191" s="9">
        <v>596.03</v>
      </c>
      <c r="AD191" s="9">
        <v>0</v>
      </c>
      <c r="AE191" s="9">
        <v>0</v>
      </c>
      <c r="AF191" s="9">
        <v>2193.3000000000002</v>
      </c>
      <c r="AG191" s="9">
        <v>4604.07</v>
      </c>
      <c r="AH191" s="9">
        <v>2193.3000000000002</v>
      </c>
      <c r="AI191" s="9">
        <v>0</v>
      </c>
      <c r="AJ191" s="11">
        <v>1</v>
      </c>
    </row>
    <row r="192" spans="1:36" hidden="1" x14ac:dyDescent="0.3">
      <c r="A192" s="1" t="s">
        <v>53</v>
      </c>
      <c r="B192" s="1">
        <v>217976</v>
      </c>
      <c r="C192" s="1"/>
      <c r="D192" s="1" t="s">
        <v>54</v>
      </c>
      <c r="E192" s="7" t="s">
        <v>67</v>
      </c>
      <c r="F192" s="7" t="s">
        <v>77</v>
      </c>
      <c r="G192" s="8">
        <f>SUM(Tabela1[[#This Row],[Total em Romaneio]],Tabela1[[#This Row],[Saldo Despacho]])/Tabela1[[#This Row],[Total do Pedido]]</f>
        <v>0</v>
      </c>
      <c r="H192" s="42">
        <f>SUM(Tabela1[[#This Row],[Total em Romaneio]],Tabela1[[#This Row],[Saldo Despacho]])</f>
        <v>0</v>
      </c>
      <c r="I192" s="9">
        <v>6555.12</v>
      </c>
      <c r="J192" s="10">
        <v>46167</v>
      </c>
      <c r="K192" s="2"/>
      <c r="L192" s="8">
        <f>Tabela1[[#This Row],[Saldo Pedido]]/Tabela1[[#This Row],[Total do Pedido]]</f>
        <v>0</v>
      </c>
      <c r="M192" s="8">
        <f>Tabela1[[#This Row],[Total Despachado]]/Tabela1[[#This Row],[Total do Pedido]]</f>
        <v>0.79482908016939424</v>
      </c>
      <c r="N192" s="2">
        <v>46156</v>
      </c>
      <c r="O192" s="2">
        <v>46156</v>
      </c>
      <c r="P192" s="2">
        <v>46167</v>
      </c>
      <c r="Q192" s="10">
        <v>46170</v>
      </c>
      <c r="R192" s="10">
        <v>46169</v>
      </c>
      <c r="S192" s="1" t="s">
        <v>31</v>
      </c>
      <c r="T192" s="1" t="s">
        <v>38</v>
      </c>
      <c r="U192" s="1">
        <v>12</v>
      </c>
      <c r="V192" s="1" t="s">
        <v>39</v>
      </c>
      <c r="W192" s="1" t="s">
        <v>62</v>
      </c>
      <c r="X192" s="1" t="s">
        <v>52</v>
      </c>
      <c r="Y192" s="1" t="s">
        <v>37</v>
      </c>
      <c r="Z192" s="9">
        <v>6555.12</v>
      </c>
      <c r="AA192" s="9">
        <v>0</v>
      </c>
      <c r="AB192" s="9">
        <v>1370.4</v>
      </c>
      <c r="AC192" s="9">
        <v>1298.4000000000001</v>
      </c>
      <c r="AD192" s="9">
        <v>72</v>
      </c>
      <c r="AE192" s="9">
        <v>0</v>
      </c>
      <c r="AF192" s="9">
        <v>5210.2</v>
      </c>
      <c r="AG192" s="9">
        <v>1344.92</v>
      </c>
      <c r="AH192" s="9">
        <v>5210.2</v>
      </c>
      <c r="AI192" s="9">
        <v>0</v>
      </c>
      <c r="AJ192" s="11">
        <v>1</v>
      </c>
    </row>
    <row r="193" spans="1:36" hidden="1" x14ac:dyDescent="0.3">
      <c r="A193" s="1" t="s">
        <v>102</v>
      </c>
      <c r="B193" s="1">
        <v>214973</v>
      </c>
      <c r="C193" s="1"/>
      <c r="D193" s="1" t="s">
        <v>56</v>
      </c>
      <c r="E193" s="7" t="s">
        <v>86</v>
      </c>
      <c r="F193" s="7" t="s">
        <v>87</v>
      </c>
      <c r="G193" s="8">
        <f>SUM(Tabela1[[#This Row],[Total em Romaneio]],Tabela1[[#This Row],[Saldo Despacho]])/Tabela1[[#This Row],[Total do Pedido]]</f>
        <v>0</v>
      </c>
      <c r="H193" s="42">
        <f>SUM(Tabela1[[#This Row],[Total em Romaneio]],Tabela1[[#This Row],[Saldo Despacho]])</f>
        <v>0</v>
      </c>
      <c r="I193" s="9">
        <v>5845.5</v>
      </c>
      <c r="J193" s="10">
        <v>46105</v>
      </c>
      <c r="K193" s="2"/>
      <c r="L193" s="8">
        <f>Tabela1[[#This Row],[Saldo Pedido]]/Tabela1[[#This Row],[Total do Pedido]]</f>
        <v>1</v>
      </c>
      <c r="M193" s="8">
        <f>Tabela1[[#This Row],[Total Despachado]]/Tabela1[[#This Row],[Total do Pedido]]</f>
        <v>0</v>
      </c>
      <c r="N193" s="2">
        <v>46058</v>
      </c>
      <c r="O193" s="2">
        <v>46058</v>
      </c>
      <c r="P193" s="2">
        <v>46069</v>
      </c>
      <c r="S193" s="1" t="s">
        <v>44</v>
      </c>
      <c r="T193" s="1" t="s">
        <v>38</v>
      </c>
      <c r="U193" s="1">
        <v>236</v>
      </c>
      <c r="V193" s="1" t="s">
        <v>103</v>
      </c>
      <c r="X193" s="1" t="s">
        <v>58</v>
      </c>
      <c r="Y193" s="1" t="s">
        <v>43</v>
      </c>
      <c r="Z193" s="9">
        <v>0</v>
      </c>
      <c r="AA193" s="9">
        <v>5845.5</v>
      </c>
      <c r="AB193" s="9">
        <v>5845.5</v>
      </c>
      <c r="AC193" s="9">
        <v>5845.5</v>
      </c>
      <c r="AD193" s="9">
        <v>0</v>
      </c>
      <c r="AE193" s="9">
        <v>0</v>
      </c>
      <c r="AF193" s="9">
        <v>0</v>
      </c>
      <c r="AG193" s="9">
        <v>5845.5</v>
      </c>
      <c r="AH193" s="9">
        <v>0</v>
      </c>
      <c r="AI193" s="9">
        <v>0</v>
      </c>
      <c r="AJ193" s="11">
        <v>1</v>
      </c>
    </row>
    <row r="194" spans="1:36" hidden="1" x14ac:dyDescent="0.3">
      <c r="A194" s="1" t="s">
        <v>80</v>
      </c>
      <c r="B194" s="1">
        <v>218220</v>
      </c>
      <c r="C194" s="1"/>
      <c r="D194" s="1" t="s">
        <v>81</v>
      </c>
      <c r="E194" s="7" t="s">
        <v>45</v>
      </c>
      <c r="F194" s="7" t="s">
        <v>76</v>
      </c>
      <c r="G194" s="8">
        <f>SUM(Tabela1[[#This Row],[Total em Romaneio]],Tabela1[[#This Row],[Saldo Despacho]])/Tabela1[[#This Row],[Total do Pedido]]</f>
        <v>1</v>
      </c>
      <c r="H194" s="42">
        <f>SUM(Tabela1[[#This Row],[Total em Romaneio]],Tabela1[[#This Row],[Saldo Despacho]])</f>
        <v>5665.75</v>
      </c>
      <c r="I194" s="9">
        <v>5665.75</v>
      </c>
      <c r="J194" s="10">
        <v>46174</v>
      </c>
      <c r="K194" s="2"/>
      <c r="L194" s="8">
        <f>Tabela1[[#This Row],[Saldo Pedido]]/Tabela1[[#This Row],[Total do Pedido]]</f>
        <v>0</v>
      </c>
      <c r="M194" s="8">
        <f>Tabela1[[#This Row],[Total Despachado]]/Tabela1[[#This Row],[Total do Pedido]]</f>
        <v>0</v>
      </c>
      <c r="N194" s="2">
        <v>46164</v>
      </c>
      <c r="O194" s="2">
        <v>46164</v>
      </c>
      <c r="P194" s="2"/>
      <c r="Q194" s="10">
        <v>46169</v>
      </c>
      <c r="R194" s="10">
        <v>46171</v>
      </c>
      <c r="S194" s="1" t="s">
        <v>44</v>
      </c>
      <c r="T194" s="1" t="s">
        <v>115</v>
      </c>
      <c r="U194" s="1">
        <v>240</v>
      </c>
      <c r="V194" s="1" t="s">
        <v>114</v>
      </c>
      <c r="W194" s="1" t="s">
        <v>35</v>
      </c>
      <c r="X194" s="1" t="s">
        <v>51</v>
      </c>
      <c r="Y194" s="1" t="s">
        <v>37</v>
      </c>
      <c r="Z194" s="9">
        <v>5665.75</v>
      </c>
      <c r="AA194" s="9">
        <v>0</v>
      </c>
      <c r="AB194" s="9">
        <v>8847</v>
      </c>
      <c r="AC194" s="9">
        <v>8847</v>
      </c>
      <c r="AD194" s="9">
        <v>0</v>
      </c>
      <c r="AE194" s="9">
        <v>0</v>
      </c>
      <c r="AF194" s="9">
        <v>0</v>
      </c>
      <c r="AG194" s="9">
        <v>5665.75</v>
      </c>
      <c r="AH194" s="9">
        <v>0</v>
      </c>
      <c r="AI194" s="9">
        <v>5665.75</v>
      </c>
      <c r="AJ194" s="11">
        <v>1</v>
      </c>
    </row>
    <row r="195" spans="1:36" x14ac:dyDescent="0.3">
      <c r="A195" s="1" t="s">
        <v>64</v>
      </c>
      <c r="B195" s="1">
        <v>218224</v>
      </c>
      <c r="C195" s="1"/>
      <c r="D195" s="1" t="s">
        <v>65</v>
      </c>
      <c r="E195" s="7" t="s">
        <v>57</v>
      </c>
      <c r="F195" s="7" t="s">
        <v>77</v>
      </c>
      <c r="G195" s="8">
        <f>SUM(Tabela1[[#This Row],[Total em Romaneio]],Tabela1[[#This Row],[Saldo Despacho]])/Tabela1[[#This Row],[Total do Pedido]]</f>
        <v>0</v>
      </c>
      <c r="H195" s="42">
        <f>SUM(Tabela1[[#This Row],[Total em Romaneio]],Tabela1[[#This Row],[Saldo Despacho]])</f>
        <v>0</v>
      </c>
      <c r="I195" s="9">
        <v>5210.67</v>
      </c>
      <c r="J195" s="10">
        <v>46178</v>
      </c>
      <c r="K195" s="2"/>
      <c r="L195" s="8">
        <f>Tabela1[[#This Row],[Saldo Pedido]]/Tabela1[[#This Row],[Total do Pedido]]</f>
        <v>1</v>
      </c>
      <c r="M195" s="8">
        <f>Tabela1[[#This Row],[Total Despachado]]/Tabela1[[#This Row],[Total do Pedido]]</f>
        <v>0</v>
      </c>
      <c r="N195" s="2">
        <v>46164</v>
      </c>
      <c r="O195" s="2">
        <v>46167</v>
      </c>
      <c r="P195" s="2"/>
      <c r="S195" s="1" t="s">
        <v>66</v>
      </c>
      <c r="T195" s="1" t="s">
        <v>32</v>
      </c>
      <c r="U195" s="1">
        <v>12</v>
      </c>
      <c r="V195" s="1" t="s">
        <v>39</v>
      </c>
      <c r="W195" s="1" t="s">
        <v>35</v>
      </c>
      <c r="X195" s="1" t="s">
        <v>36</v>
      </c>
      <c r="Y195" s="1" t="s">
        <v>43</v>
      </c>
      <c r="Z195" s="9">
        <v>0</v>
      </c>
      <c r="AA195" s="9">
        <v>5210.67</v>
      </c>
      <c r="AB195" s="9">
        <v>72694</v>
      </c>
      <c r="AC195" s="9">
        <v>0</v>
      </c>
      <c r="AD195" s="9">
        <v>72694</v>
      </c>
      <c r="AE195" s="9">
        <v>0</v>
      </c>
      <c r="AF195" s="9">
        <v>0</v>
      </c>
      <c r="AG195" s="9">
        <v>5210.67</v>
      </c>
      <c r="AH195" s="9">
        <v>0</v>
      </c>
      <c r="AI195" s="9">
        <v>0</v>
      </c>
      <c r="AJ195" s="11">
        <v>1</v>
      </c>
    </row>
    <row r="196" spans="1:36" hidden="1" x14ac:dyDescent="0.3">
      <c r="A196" s="1" t="s">
        <v>90</v>
      </c>
      <c r="B196" s="1">
        <v>217255</v>
      </c>
      <c r="C196" s="1"/>
      <c r="D196" s="1" t="s">
        <v>56</v>
      </c>
      <c r="E196" s="7" t="s">
        <v>86</v>
      </c>
      <c r="F196" s="7" t="s">
        <v>87</v>
      </c>
      <c r="G196" s="8">
        <f>SUM(Tabela1[[#This Row],[Total em Romaneio]],Tabela1[[#This Row],[Saldo Despacho]])/Tabela1[[#This Row],[Total do Pedido]]</f>
        <v>0</v>
      </c>
      <c r="H196" s="42">
        <f>SUM(Tabela1[[#This Row],[Total em Romaneio]],Tabela1[[#This Row],[Saldo Despacho]])</f>
        <v>0</v>
      </c>
      <c r="I196" s="9">
        <v>5047.5</v>
      </c>
      <c r="J196" s="10">
        <v>46142</v>
      </c>
      <c r="K196" s="2"/>
      <c r="L196" s="8">
        <f>Tabela1[[#This Row],[Saldo Pedido]]/Tabela1[[#This Row],[Total do Pedido]]</f>
        <v>1</v>
      </c>
      <c r="M196" s="8">
        <f>Tabela1[[#This Row],[Total Despachado]]/Tabela1[[#This Row],[Total do Pedido]]</f>
        <v>0</v>
      </c>
      <c r="N196" s="2">
        <v>46132</v>
      </c>
      <c r="O196" s="2">
        <v>46132</v>
      </c>
      <c r="P196" s="2"/>
      <c r="S196" s="1" t="s">
        <v>44</v>
      </c>
      <c r="T196" s="1" t="s">
        <v>115</v>
      </c>
      <c r="U196" s="1">
        <v>236</v>
      </c>
      <c r="V196" s="1" t="s">
        <v>85</v>
      </c>
      <c r="W196" s="1" t="s">
        <v>35</v>
      </c>
      <c r="X196" s="1" t="s">
        <v>58</v>
      </c>
      <c r="Y196" s="1" t="s">
        <v>43</v>
      </c>
      <c r="Z196" s="9">
        <v>0</v>
      </c>
      <c r="AA196" s="9">
        <v>5047.5</v>
      </c>
      <c r="AB196" s="9">
        <v>5708.7</v>
      </c>
      <c r="AC196" s="9">
        <v>5708.7</v>
      </c>
      <c r="AD196" s="9">
        <v>0</v>
      </c>
      <c r="AE196" s="9">
        <v>0</v>
      </c>
      <c r="AF196" s="9">
        <v>0</v>
      </c>
      <c r="AG196" s="9">
        <v>5047.5</v>
      </c>
      <c r="AH196" s="9">
        <v>0</v>
      </c>
      <c r="AI196" s="9">
        <v>0</v>
      </c>
      <c r="AJ196" s="11">
        <v>1</v>
      </c>
    </row>
    <row r="197" spans="1:36" hidden="1" x14ac:dyDescent="0.3">
      <c r="A197" s="1" t="s">
        <v>53</v>
      </c>
      <c r="B197" s="1">
        <v>218196</v>
      </c>
      <c r="C197" s="1"/>
      <c r="D197" s="1" t="s">
        <v>54</v>
      </c>
      <c r="E197" s="7" t="s">
        <v>155</v>
      </c>
      <c r="F197" s="7" t="s">
        <v>76</v>
      </c>
      <c r="G197" s="8">
        <f>SUM(Tabela1[[#This Row],[Total em Romaneio]],Tabela1[[#This Row],[Saldo Despacho]])/Tabela1[[#This Row],[Total do Pedido]]</f>
        <v>0</v>
      </c>
      <c r="H197" s="42">
        <f>SUM(Tabela1[[#This Row],[Total em Romaneio]],Tabela1[[#This Row],[Saldo Despacho]])</f>
        <v>0</v>
      </c>
      <c r="I197" s="9">
        <v>4909.3999999999996</v>
      </c>
      <c r="J197" s="10">
        <v>46174</v>
      </c>
      <c r="K197" s="2"/>
      <c r="L197" s="8">
        <f>Tabela1[[#This Row],[Saldo Pedido]]/Tabela1[[#This Row],[Total do Pedido]]</f>
        <v>0</v>
      </c>
      <c r="M197" s="8">
        <f>Tabela1[[#This Row],[Total Despachado]]/Tabela1[[#This Row],[Total do Pedido]]</f>
        <v>0</v>
      </c>
      <c r="N197" s="2">
        <v>46164</v>
      </c>
      <c r="O197" s="2">
        <v>46167</v>
      </c>
      <c r="P197" s="2">
        <v>46174</v>
      </c>
      <c r="Q197" s="10">
        <v>46171</v>
      </c>
      <c r="R197" s="10">
        <v>46176</v>
      </c>
      <c r="S197" s="1" t="s">
        <v>31</v>
      </c>
      <c r="T197" s="1" t="s">
        <v>38</v>
      </c>
      <c r="U197" s="1">
        <v>12</v>
      </c>
      <c r="V197" s="1" t="s">
        <v>49</v>
      </c>
      <c r="W197" s="1" t="s">
        <v>35</v>
      </c>
      <c r="X197" s="1" t="s">
        <v>52</v>
      </c>
      <c r="Y197" s="1" t="s">
        <v>37</v>
      </c>
      <c r="Z197" s="9">
        <v>4909.3999999999996</v>
      </c>
      <c r="AA197" s="9">
        <v>0</v>
      </c>
      <c r="AB197" s="9">
        <v>2859.22</v>
      </c>
      <c r="AC197" s="9">
        <v>2859.22</v>
      </c>
      <c r="AD197" s="9">
        <v>0</v>
      </c>
      <c r="AE197" s="9">
        <v>0</v>
      </c>
      <c r="AF197" s="9">
        <v>0</v>
      </c>
      <c r="AG197" s="9">
        <v>4909.3999999999996</v>
      </c>
      <c r="AH197" s="9">
        <v>0</v>
      </c>
      <c r="AI197" s="9">
        <v>0</v>
      </c>
      <c r="AJ197" s="11">
        <v>1</v>
      </c>
    </row>
    <row r="198" spans="1:36" x14ac:dyDescent="0.3">
      <c r="A198" s="1" t="s">
        <v>64</v>
      </c>
      <c r="B198" s="1">
        <v>218351</v>
      </c>
      <c r="C198" s="1"/>
      <c r="D198" s="1" t="s">
        <v>65</v>
      </c>
      <c r="E198" s="7" t="s">
        <v>45</v>
      </c>
      <c r="F198" s="7" t="s">
        <v>95</v>
      </c>
      <c r="G198" s="8">
        <f>SUM(Tabela1[[#This Row],[Total em Romaneio]],Tabela1[[#This Row],[Saldo Despacho]])/Tabela1[[#This Row],[Total do Pedido]]</f>
        <v>0</v>
      </c>
      <c r="H198" s="42">
        <f>SUM(Tabela1[[#This Row],[Total em Romaneio]],Tabela1[[#This Row],[Saldo Despacho]])</f>
        <v>0</v>
      </c>
      <c r="I198" s="9">
        <v>4851.92</v>
      </c>
      <c r="J198" s="10">
        <v>46178</v>
      </c>
      <c r="K198" s="2"/>
      <c r="L198" s="8">
        <f>Tabela1[[#This Row],[Saldo Pedido]]/Tabela1[[#This Row],[Total do Pedido]]</f>
        <v>1</v>
      </c>
      <c r="M198" s="8">
        <f>Tabela1[[#This Row],[Total Despachado]]/Tabela1[[#This Row],[Total do Pedido]]</f>
        <v>0</v>
      </c>
      <c r="N198" s="2">
        <v>46170</v>
      </c>
      <c r="O198" s="2"/>
      <c r="P198" s="2"/>
      <c r="S198" s="1" t="s">
        <v>66</v>
      </c>
      <c r="T198" s="1" t="s">
        <v>32</v>
      </c>
      <c r="U198" s="1">
        <v>12</v>
      </c>
      <c r="V198" s="1" t="s">
        <v>39</v>
      </c>
      <c r="W198" s="1" t="s">
        <v>35</v>
      </c>
      <c r="X198" s="1" t="s">
        <v>42</v>
      </c>
      <c r="Y198" s="1" t="s">
        <v>105</v>
      </c>
      <c r="Z198" s="9">
        <v>0</v>
      </c>
      <c r="AA198" s="9">
        <v>4851.92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4851.92</v>
      </c>
      <c r="AH198" s="9">
        <v>0</v>
      </c>
      <c r="AI198" s="9">
        <v>0</v>
      </c>
      <c r="AJ198" s="11">
        <v>1</v>
      </c>
    </row>
    <row r="199" spans="1:36" hidden="1" x14ac:dyDescent="0.3">
      <c r="A199" s="1" t="s">
        <v>59</v>
      </c>
      <c r="B199" s="1">
        <v>218328</v>
      </c>
      <c r="C199" s="1"/>
      <c r="D199" s="1" t="s">
        <v>60</v>
      </c>
      <c r="E199" s="7" t="s">
        <v>45</v>
      </c>
      <c r="F199" s="7" t="s">
        <v>95</v>
      </c>
      <c r="G199" s="8">
        <f>SUM(Tabela1[[#This Row],[Total em Romaneio]],Tabela1[[#This Row],[Saldo Despacho]])/Tabela1[[#This Row],[Total do Pedido]]</f>
        <v>0</v>
      </c>
      <c r="H199" s="42">
        <f>SUM(Tabela1[[#This Row],[Total em Romaneio]],Tabela1[[#This Row],[Saldo Despacho]])</f>
        <v>0</v>
      </c>
      <c r="I199" s="9">
        <v>4640</v>
      </c>
      <c r="J199" s="10">
        <v>46171</v>
      </c>
      <c r="K199" s="2"/>
      <c r="L199" s="8">
        <f>Tabela1[[#This Row],[Saldo Pedido]]/Tabela1[[#This Row],[Total do Pedido]]</f>
        <v>0</v>
      </c>
      <c r="M199" s="8">
        <f>Tabela1[[#This Row],[Total Despachado]]/Tabela1[[#This Row],[Total do Pedido]]</f>
        <v>0</v>
      </c>
      <c r="N199" s="2">
        <v>46169</v>
      </c>
      <c r="O199" s="2">
        <v>46169</v>
      </c>
      <c r="P199" s="2">
        <v>46171</v>
      </c>
      <c r="Q199" s="10">
        <v>46171</v>
      </c>
      <c r="R199" s="10">
        <v>46171</v>
      </c>
      <c r="S199" s="1" t="s">
        <v>31</v>
      </c>
      <c r="T199" s="1" t="s">
        <v>38</v>
      </c>
      <c r="U199" s="1">
        <v>12</v>
      </c>
      <c r="V199" s="1" t="s">
        <v>39</v>
      </c>
      <c r="W199" s="1" t="s">
        <v>35</v>
      </c>
      <c r="X199" s="1" t="s">
        <v>51</v>
      </c>
      <c r="Y199" s="1" t="s">
        <v>37</v>
      </c>
      <c r="Z199" s="9">
        <v>4640</v>
      </c>
      <c r="AA199" s="9">
        <v>0</v>
      </c>
      <c r="AB199" s="9">
        <v>3200</v>
      </c>
      <c r="AC199" s="9">
        <v>3200</v>
      </c>
      <c r="AD199" s="9">
        <v>0</v>
      </c>
      <c r="AE199" s="9">
        <v>0</v>
      </c>
      <c r="AF199" s="9">
        <v>0</v>
      </c>
      <c r="AG199" s="9">
        <v>4640</v>
      </c>
      <c r="AH199" s="9">
        <v>0</v>
      </c>
      <c r="AI199" s="9">
        <v>0</v>
      </c>
      <c r="AJ199" s="11">
        <v>1</v>
      </c>
    </row>
    <row r="200" spans="1:36" hidden="1" x14ac:dyDescent="0.3">
      <c r="A200" s="1" t="s">
        <v>53</v>
      </c>
      <c r="B200" s="1">
        <v>218195</v>
      </c>
      <c r="C200" s="1"/>
      <c r="D200" s="1" t="s">
        <v>54</v>
      </c>
      <c r="E200" s="7" t="s">
        <v>57</v>
      </c>
      <c r="F200" s="7" t="s">
        <v>76</v>
      </c>
      <c r="G200" s="8">
        <f>SUM(Tabela1[[#This Row],[Total em Romaneio]],Tabela1[[#This Row],[Saldo Despacho]])/Tabela1[[#This Row],[Total do Pedido]]</f>
        <v>0</v>
      </c>
      <c r="H200" s="42">
        <f>SUM(Tabela1[[#This Row],[Total em Romaneio]],Tabela1[[#This Row],[Saldo Despacho]])</f>
        <v>0</v>
      </c>
      <c r="I200" s="9">
        <v>4585.82</v>
      </c>
      <c r="J200" s="10">
        <v>46174</v>
      </c>
      <c r="K200" s="2"/>
      <c r="L200" s="8">
        <f>Tabela1[[#This Row],[Saldo Pedido]]/Tabela1[[#This Row],[Total do Pedido]]</f>
        <v>0</v>
      </c>
      <c r="M200" s="8">
        <f>Tabela1[[#This Row],[Total Despachado]]/Tabela1[[#This Row],[Total do Pedido]]</f>
        <v>0</v>
      </c>
      <c r="N200" s="2">
        <v>46164</v>
      </c>
      <c r="O200" s="2">
        <v>46164</v>
      </c>
      <c r="P200" s="2"/>
      <c r="S200" s="1" t="s">
        <v>31</v>
      </c>
      <c r="T200" s="1" t="s">
        <v>38</v>
      </c>
      <c r="U200" s="1">
        <v>12</v>
      </c>
      <c r="V200" s="1" t="s">
        <v>49</v>
      </c>
      <c r="W200" s="1" t="s">
        <v>35</v>
      </c>
      <c r="X200" s="1" t="s">
        <v>42</v>
      </c>
      <c r="Y200" s="1" t="s">
        <v>37</v>
      </c>
      <c r="Z200" s="9">
        <v>4585.82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4585.82</v>
      </c>
      <c r="AH200" s="9">
        <v>0</v>
      </c>
      <c r="AI200" s="9">
        <v>0</v>
      </c>
      <c r="AJ200" s="11">
        <v>1</v>
      </c>
    </row>
    <row r="201" spans="1:36" hidden="1" x14ac:dyDescent="0.3">
      <c r="A201" s="1" t="s">
        <v>102</v>
      </c>
      <c r="B201" s="1">
        <v>217840</v>
      </c>
      <c r="C201" s="1"/>
      <c r="D201" s="1" t="s">
        <v>56</v>
      </c>
      <c r="E201" s="7" t="s">
        <v>86</v>
      </c>
      <c r="F201" s="7" t="s">
        <v>87</v>
      </c>
      <c r="G201" s="8">
        <f>SUM(Tabela1[[#This Row],[Total em Romaneio]],Tabela1[[#This Row],[Saldo Despacho]])/Tabela1[[#This Row],[Total do Pedido]]</f>
        <v>0</v>
      </c>
      <c r="H201" s="42">
        <f>SUM(Tabela1[[#This Row],[Total em Romaneio]],Tabela1[[#This Row],[Saldo Despacho]])</f>
        <v>0</v>
      </c>
      <c r="I201" s="9">
        <v>4182</v>
      </c>
      <c r="J201" s="10">
        <v>46160</v>
      </c>
      <c r="K201" s="2"/>
      <c r="L201" s="8">
        <f>Tabela1[[#This Row],[Saldo Pedido]]/Tabela1[[#This Row],[Total do Pedido]]</f>
        <v>1</v>
      </c>
      <c r="M201" s="8">
        <f>Tabela1[[#This Row],[Total Despachado]]/Tabela1[[#This Row],[Total do Pedido]]</f>
        <v>0</v>
      </c>
      <c r="N201" s="2">
        <v>46150</v>
      </c>
      <c r="O201" s="2">
        <v>46150</v>
      </c>
      <c r="P201" s="2"/>
      <c r="S201" s="1" t="s">
        <v>44</v>
      </c>
      <c r="T201" s="1" t="s">
        <v>115</v>
      </c>
      <c r="U201" s="1">
        <v>236</v>
      </c>
      <c r="V201" s="1" t="s">
        <v>39</v>
      </c>
      <c r="W201" s="1" t="s">
        <v>35</v>
      </c>
      <c r="X201" s="1" t="s">
        <v>58</v>
      </c>
      <c r="Y201" s="1" t="s">
        <v>43</v>
      </c>
      <c r="Z201" s="9">
        <v>0</v>
      </c>
      <c r="AA201" s="9">
        <v>4182</v>
      </c>
      <c r="AB201" s="9">
        <v>4080</v>
      </c>
      <c r="AC201" s="9">
        <v>4080</v>
      </c>
      <c r="AD201" s="9">
        <v>0</v>
      </c>
      <c r="AE201" s="9">
        <v>0</v>
      </c>
      <c r="AF201" s="9">
        <v>0</v>
      </c>
      <c r="AG201" s="9">
        <v>4182</v>
      </c>
      <c r="AH201" s="9">
        <v>0</v>
      </c>
      <c r="AI201" s="9">
        <v>0</v>
      </c>
      <c r="AJ201" s="11">
        <v>1</v>
      </c>
    </row>
    <row r="202" spans="1:36" hidden="1" x14ac:dyDescent="0.3">
      <c r="A202" s="1" t="s">
        <v>142</v>
      </c>
      <c r="B202" s="1">
        <v>218139</v>
      </c>
      <c r="C202" s="1"/>
      <c r="D202" s="1" t="s">
        <v>140</v>
      </c>
      <c r="E202" s="7" t="s">
        <v>91</v>
      </c>
      <c r="F202" s="7" t="s">
        <v>41</v>
      </c>
      <c r="G202" s="8">
        <f>SUM(Tabela1[[#This Row],[Total em Romaneio]],Tabela1[[#This Row],[Saldo Despacho]])/Tabela1[[#This Row],[Total do Pedido]]</f>
        <v>0</v>
      </c>
      <c r="H202" s="42">
        <f>SUM(Tabela1[[#This Row],[Total em Romaneio]],Tabela1[[#This Row],[Saldo Despacho]])</f>
        <v>0</v>
      </c>
      <c r="I202" s="9">
        <v>3119.33</v>
      </c>
      <c r="J202" s="10">
        <v>46171</v>
      </c>
      <c r="K202" s="2"/>
      <c r="L202" s="8">
        <f>Tabela1[[#This Row],[Saldo Pedido]]/Tabela1[[#This Row],[Total do Pedido]]</f>
        <v>0</v>
      </c>
      <c r="M202" s="8">
        <f>Tabela1[[#This Row],[Total Despachado]]/Tabela1[[#This Row],[Total do Pedido]]</f>
        <v>0.41510196099803481</v>
      </c>
      <c r="N202" s="2">
        <v>46162</v>
      </c>
      <c r="O202" s="2">
        <v>46163</v>
      </c>
      <c r="P202" s="2"/>
      <c r="S202" s="1" t="s">
        <v>31</v>
      </c>
      <c r="T202" s="1" t="s">
        <v>38</v>
      </c>
      <c r="U202" s="1">
        <v>12</v>
      </c>
      <c r="V202" s="1" t="s">
        <v>39</v>
      </c>
      <c r="W202" s="1" t="s">
        <v>35</v>
      </c>
      <c r="X202" s="1" t="s">
        <v>42</v>
      </c>
      <c r="Y202" s="1" t="s">
        <v>37</v>
      </c>
      <c r="Z202" s="9">
        <v>3119.33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1294.8399999999999</v>
      </c>
      <c r="AG202" s="9">
        <v>1824.49</v>
      </c>
      <c r="AH202" s="9">
        <v>1294.8399999999999</v>
      </c>
      <c r="AI202" s="9">
        <v>0</v>
      </c>
      <c r="AJ202" s="11">
        <v>1</v>
      </c>
    </row>
    <row r="203" spans="1:36" hidden="1" x14ac:dyDescent="0.3">
      <c r="A203" s="1" t="s">
        <v>53</v>
      </c>
      <c r="B203" s="1">
        <v>217920</v>
      </c>
      <c r="C203" s="1"/>
      <c r="D203" s="1" t="s">
        <v>54</v>
      </c>
      <c r="E203" s="7" t="s">
        <v>63</v>
      </c>
      <c r="F203" s="7" t="s">
        <v>41</v>
      </c>
      <c r="G203" s="8">
        <f>SUM(Tabela1[[#This Row],[Total em Romaneio]],Tabela1[[#This Row],[Saldo Despacho]])/Tabela1[[#This Row],[Total do Pedido]]</f>
        <v>0</v>
      </c>
      <c r="H203" s="42">
        <f>SUM(Tabela1[[#This Row],[Total em Romaneio]],Tabela1[[#This Row],[Saldo Despacho]])</f>
        <v>0</v>
      </c>
      <c r="I203" s="9">
        <v>3055.25</v>
      </c>
      <c r="J203" s="10">
        <v>46189</v>
      </c>
      <c r="K203" s="2"/>
      <c r="L203" s="8">
        <f>Tabela1[[#This Row],[Saldo Pedido]]/Tabela1[[#This Row],[Total do Pedido]]</f>
        <v>0</v>
      </c>
      <c r="M203" s="8">
        <f>Tabela1[[#This Row],[Total Despachado]]/Tabela1[[#This Row],[Total do Pedido]]</f>
        <v>0</v>
      </c>
      <c r="N203" s="2">
        <v>46154</v>
      </c>
      <c r="O203" s="2">
        <v>46156</v>
      </c>
      <c r="P203" s="2"/>
      <c r="Q203" s="10">
        <v>46171</v>
      </c>
      <c r="R203" s="10">
        <v>46171</v>
      </c>
      <c r="S203" s="1" t="s">
        <v>31</v>
      </c>
      <c r="T203" s="1" t="s">
        <v>133</v>
      </c>
      <c r="U203" s="1">
        <v>12</v>
      </c>
      <c r="V203" s="1" t="s">
        <v>49</v>
      </c>
      <c r="W203" s="1" t="s">
        <v>35</v>
      </c>
      <c r="X203" s="1" t="s">
        <v>51</v>
      </c>
      <c r="Y203" s="1" t="s">
        <v>37</v>
      </c>
      <c r="Z203" s="9">
        <v>3055.25</v>
      </c>
      <c r="AA203" s="9">
        <v>0</v>
      </c>
      <c r="AB203" s="9">
        <v>1100</v>
      </c>
      <c r="AC203" s="9">
        <v>1100</v>
      </c>
      <c r="AD203" s="9">
        <v>0</v>
      </c>
      <c r="AE203" s="9">
        <v>0</v>
      </c>
      <c r="AF203" s="9">
        <v>0</v>
      </c>
      <c r="AG203" s="9">
        <v>3055.25</v>
      </c>
      <c r="AH203" s="9">
        <v>0</v>
      </c>
      <c r="AI203" s="9">
        <v>0</v>
      </c>
      <c r="AJ203" s="11">
        <v>1</v>
      </c>
    </row>
    <row r="204" spans="1:36" hidden="1" x14ac:dyDescent="0.3">
      <c r="A204" s="1" t="s">
        <v>53</v>
      </c>
      <c r="B204" s="1">
        <v>217921</v>
      </c>
      <c r="C204" s="1"/>
      <c r="D204" s="1" t="s">
        <v>54</v>
      </c>
      <c r="E204" s="7" t="s">
        <v>63</v>
      </c>
      <c r="F204" s="7" t="s">
        <v>41</v>
      </c>
      <c r="G204" s="8">
        <f>SUM(Tabela1[[#This Row],[Total em Romaneio]],Tabela1[[#This Row],[Saldo Despacho]])/Tabela1[[#This Row],[Total do Pedido]]</f>
        <v>0</v>
      </c>
      <c r="H204" s="42">
        <f>SUM(Tabela1[[#This Row],[Total em Romaneio]],Tabela1[[#This Row],[Saldo Despacho]])</f>
        <v>0</v>
      </c>
      <c r="I204" s="9">
        <v>3033.03</v>
      </c>
      <c r="J204" s="10">
        <v>46196</v>
      </c>
      <c r="K204" s="2"/>
      <c r="L204" s="8">
        <f>Tabela1[[#This Row],[Saldo Pedido]]/Tabela1[[#This Row],[Total do Pedido]]</f>
        <v>0</v>
      </c>
      <c r="M204" s="8">
        <f>Tabela1[[#This Row],[Total Despachado]]/Tabela1[[#This Row],[Total do Pedido]]</f>
        <v>0</v>
      </c>
      <c r="N204" s="2">
        <v>46154</v>
      </c>
      <c r="O204" s="2">
        <v>46156</v>
      </c>
      <c r="P204" s="2"/>
      <c r="Q204" s="10">
        <v>46171</v>
      </c>
      <c r="R204" s="10">
        <v>46171</v>
      </c>
      <c r="S204" s="1" t="s">
        <v>31</v>
      </c>
      <c r="T204" s="1" t="s">
        <v>133</v>
      </c>
      <c r="U204" s="1">
        <v>12</v>
      </c>
      <c r="V204" s="1" t="s">
        <v>49</v>
      </c>
      <c r="W204" s="1" t="s">
        <v>35</v>
      </c>
      <c r="X204" s="1" t="s">
        <v>51</v>
      </c>
      <c r="Y204" s="1" t="s">
        <v>37</v>
      </c>
      <c r="Z204" s="9">
        <v>3033.03</v>
      </c>
      <c r="AA204" s="9">
        <v>0</v>
      </c>
      <c r="AB204" s="9">
        <v>1092</v>
      </c>
      <c r="AC204" s="9">
        <v>1092</v>
      </c>
      <c r="AD204" s="9">
        <v>0</v>
      </c>
      <c r="AE204" s="9">
        <v>0</v>
      </c>
      <c r="AF204" s="9">
        <v>0</v>
      </c>
      <c r="AG204" s="9">
        <v>3033.03</v>
      </c>
      <c r="AH204" s="9">
        <v>0</v>
      </c>
      <c r="AI204" s="9">
        <v>0</v>
      </c>
      <c r="AJ204" s="11">
        <v>1</v>
      </c>
    </row>
    <row r="205" spans="1:36" x14ac:dyDescent="0.3">
      <c r="A205" s="1" t="s">
        <v>64</v>
      </c>
      <c r="B205" s="1">
        <v>218149</v>
      </c>
      <c r="C205" s="1"/>
      <c r="D205" s="1" t="s">
        <v>65</v>
      </c>
      <c r="E205" s="7" t="s">
        <v>71</v>
      </c>
      <c r="F205" s="7" t="s">
        <v>137</v>
      </c>
      <c r="G205" s="8">
        <f>SUM(Tabela1[[#This Row],[Total em Romaneio]],Tabela1[[#This Row],[Saldo Despacho]])/Tabela1[[#This Row],[Total do Pedido]]</f>
        <v>0</v>
      </c>
      <c r="H205" s="42">
        <f>SUM(Tabela1[[#This Row],[Total em Romaneio]],Tabela1[[#This Row],[Saldo Despacho]])</f>
        <v>0</v>
      </c>
      <c r="I205" s="9">
        <v>2910.21</v>
      </c>
      <c r="J205" s="10">
        <v>46170</v>
      </c>
      <c r="K205" s="2"/>
      <c r="L205" s="8">
        <f>Tabela1[[#This Row],[Saldo Pedido]]/Tabela1[[#This Row],[Total do Pedido]]</f>
        <v>1</v>
      </c>
      <c r="M205" s="8">
        <f>Tabela1[[#This Row],[Total Despachado]]/Tabela1[[#This Row],[Total do Pedido]]</f>
        <v>0</v>
      </c>
      <c r="N205" s="2">
        <v>46163</v>
      </c>
      <c r="O205" s="2">
        <v>46163</v>
      </c>
      <c r="P205" s="2"/>
      <c r="S205" s="1" t="s">
        <v>66</v>
      </c>
      <c r="T205" s="1" t="s">
        <v>32</v>
      </c>
      <c r="U205" s="1">
        <v>12</v>
      </c>
      <c r="V205" s="1" t="s">
        <v>39</v>
      </c>
      <c r="W205" s="1" t="s">
        <v>35</v>
      </c>
      <c r="X205" s="1" t="s">
        <v>58</v>
      </c>
      <c r="Y205" s="1" t="s">
        <v>43</v>
      </c>
      <c r="Z205" s="9">
        <v>0</v>
      </c>
      <c r="AA205" s="9">
        <v>2910.21</v>
      </c>
      <c r="AB205" s="9">
        <v>1245.1300000000001</v>
      </c>
      <c r="AC205" s="9">
        <v>1245.1300000000001</v>
      </c>
      <c r="AD205" s="9">
        <v>0</v>
      </c>
      <c r="AE205" s="9">
        <v>0</v>
      </c>
      <c r="AF205" s="9">
        <v>0</v>
      </c>
      <c r="AG205" s="9">
        <v>2910.21</v>
      </c>
      <c r="AH205" s="9">
        <v>0</v>
      </c>
      <c r="AI205" s="9">
        <v>0</v>
      </c>
      <c r="AJ205" s="11">
        <v>1</v>
      </c>
    </row>
    <row r="206" spans="1:36" x14ac:dyDescent="0.3">
      <c r="A206" s="1" t="s">
        <v>64</v>
      </c>
      <c r="B206" s="1">
        <v>218273</v>
      </c>
      <c r="C206" s="1"/>
      <c r="D206" s="1" t="s">
        <v>65</v>
      </c>
      <c r="E206" s="7" t="s">
        <v>63</v>
      </c>
      <c r="F206" s="7" t="s">
        <v>41</v>
      </c>
      <c r="G206" s="8">
        <f>SUM(Tabela1[[#This Row],[Total em Romaneio]],Tabela1[[#This Row],[Saldo Despacho]])/Tabela1[[#This Row],[Total do Pedido]]</f>
        <v>0</v>
      </c>
      <c r="H206" s="42">
        <f>SUM(Tabela1[[#This Row],[Total em Romaneio]],Tabela1[[#This Row],[Saldo Despacho]])</f>
        <v>0</v>
      </c>
      <c r="I206" s="9">
        <v>2541</v>
      </c>
      <c r="J206" s="10">
        <v>46178</v>
      </c>
      <c r="K206" s="2"/>
      <c r="L206" s="8">
        <f>Tabela1[[#This Row],[Saldo Pedido]]/Tabela1[[#This Row],[Total do Pedido]]</f>
        <v>1</v>
      </c>
      <c r="M206" s="8">
        <f>Tabela1[[#This Row],[Total Despachado]]/Tabela1[[#This Row],[Total do Pedido]]</f>
        <v>0</v>
      </c>
      <c r="N206" s="2">
        <v>46168</v>
      </c>
      <c r="O206" s="2">
        <v>46169</v>
      </c>
      <c r="P206" s="2">
        <v>46178</v>
      </c>
      <c r="R206" s="10">
        <v>46178</v>
      </c>
      <c r="S206" s="1" t="s">
        <v>66</v>
      </c>
      <c r="T206" s="1" t="s">
        <v>32</v>
      </c>
      <c r="U206" s="1">
        <v>12</v>
      </c>
      <c r="V206" s="1" t="s">
        <v>49</v>
      </c>
      <c r="W206" s="1" t="s">
        <v>35</v>
      </c>
      <c r="X206" s="1" t="s">
        <v>58</v>
      </c>
      <c r="Y206" s="1" t="s">
        <v>43</v>
      </c>
      <c r="Z206" s="9">
        <v>0</v>
      </c>
      <c r="AA206" s="9">
        <v>2541</v>
      </c>
      <c r="AB206" s="9">
        <v>1155</v>
      </c>
      <c r="AC206" s="9">
        <v>1155</v>
      </c>
      <c r="AD206" s="9">
        <v>0</v>
      </c>
      <c r="AE206" s="9">
        <v>0</v>
      </c>
      <c r="AF206" s="9">
        <v>0</v>
      </c>
      <c r="AG206" s="9">
        <v>2541</v>
      </c>
      <c r="AH206" s="9">
        <v>0</v>
      </c>
      <c r="AI206" s="9">
        <v>0</v>
      </c>
      <c r="AJ206" s="11">
        <v>1</v>
      </c>
    </row>
    <row r="207" spans="1:36" hidden="1" x14ac:dyDescent="0.3">
      <c r="A207" s="1" t="s">
        <v>92</v>
      </c>
      <c r="B207" s="1">
        <v>217250</v>
      </c>
      <c r="C207" s="1"/>
      <c r="D207" s="1" t="s">
        <v>93</v>
      </c>
      <c r="E207" s="7" t="s">
        <v>67</v>
      </c>
      <c r="F207" s="7" t="s">
        <v>41</v>
      </c>
      <c r="G207" s="8">
        <f>SUM(Tabela1[[#This Row],[Total em Romaneio]],Tabela1[[#This Row],[Saldo Despacho]])/Tabela1[[#This Row],[Total do Pedido]]</f>
        <v>0</v>
      </c>
      <c r="H207" s="42">
        <f>SUM(Tabela1[[#This Row],[Total em Romaneio]],Tabela1[[#This Row],[Saldo Despacho]])</f>
        <v>0</v>
      </c>
      <c r="I207" s="9">
        <v>2465.71</v>
      </c>
      <c r="J207" s="10">
        <v>46147</v>
      </c>
      <c r="K207" s="2"/>
      <c r="L207" s="8">
        <f>Tabela1[[#This Row],[Saldo Pedido]]/Tabela1[[#This Row],[Total do Pedido]]</f>
        <v>0</v>
      </c>
      <c r="M207" s="8">
        <f>Tabela1[[#This Row],[Total Despachado]]/Tabela1[[#This Row],[Total do Pedido]]</f>
        <v>0.6921170778396486</v>
      </c>
      <c r="N207" s="2">
        <v>46129</v>
      </c>
      <c r="O207" s="2">
        <v>46129</v>
      </c>
      <c r="P207" s="2">
        <v>46134</v>
      </c>
      <c r="Q207" s="10">
        <v>46142</v>
      </c>
      <c r="R207" s="10">
        <v>46142</v>
      </c>
      <c r="S207" s="1" t="s">
        <v>31</v>
      </c>
      <c r="T207" s="1" t="s">
        <v>32</v>
      </c>
      <c r="U207" s="1">
        <v>1</v>
      </c>
      <c r="V207" s="1" t="s">
        <v>39</v>
      </c>
      <c r="W207" s="1" t="s">
        <v>35</v>
      </c>
      <c r="X207" s="1" t="s">
        <v>52</v>
      </c>
      <c r="Y207" s="1" t="s">
        <v>37</v>
      </c>
      <c r="Z207" s="9">
        <v>2465.71</v>
      </c>
      <c r="AA207" s="9">
        <v>0</v>
      </c>
      <c r="AB207" s="9">
        <v>967.46</v>
      </c>
      <c r="AC207" s="9">
        <v>967.46</v>
      </c>
      <c r="AD207" s="9">
        <v>0</v>
      </c>
      <c r="AE207" s="9">
        <v>0</v>
      </c>
      <c r="AF207" s="9">
        <v>1706.56</v>
      </c>
      <c r="AG207" s="9">
        <v>759.15</v>
      </c>
      <c r="AH207" s="9">
        <v>1706.56</v>
      </c>
      <c r="AI207" s="9">
        <v>0</v>
      </c>
      <c r="AJ207" s="11">
        <v>1</v>
      </c>
    </row>
    <row r="208" spans="1:36" hidden="1" x14ac:dyDescent="0.3">
      <c r="A208" s="1" t="s">
        <v>138</v>
      </c>
      <c r="B208" s="1">
        <v>190315</v>
      </c>
      <c r="C208" s="1">
        <v>101006</v>
      </c>
      <c r="D208" s="1" t="s">
        <v>139</v>
      </c>
      <c r="E208" s="7" t="s">
        <v>34</v>
      </c>
      <c r="F208" s="7" t="s">
        <v>76</v>
      </c>
      <c r="G208" s="8">
        <f>SUM(Tabela1[[#This Row],[Total em Romaneio]],Tabela1[[#This Row],[Saldo Despacho]])/Tabela1[[#This Row],[Total do Pedido]]</f>
        <v>0</v>
      </c>
      <c r="H208" s="42">
        <f>SUM(Tabela1[[#This Row],[Total em Romaneio]],Tabela1[[#This Row],[Saldo Despacho]])</f>
        <v>0</v>
      </c>
      <c r="I208" s="9">
        <v>1921.42</v>
      </c>
      <c r="J208" s="10">
        <v>45912</v>
      </c>
      <c r="K208" s="2"/>
      <c r="L208" s="8">
        <f>Tabela1[[#This Row],[Saldo Pedido]]/Tabela1[[#This Row],[Total do Pedido]]</f>
        <v>0</v>
      </c>
      <c r="M208" s="8">
        <f>Tabela1[[#This Row],[Total Despachado]]/Tabela1[[#This Row],[Total do Pedido]]</f>
        <v>1</v>
      </c>
      <c r="N208" s="2">
        <v>45903</v>
      </c>
      <c r="O208" s="2">
        <v>45904</v>
      </c>
      <c r="P208" s="2"/>
      <c r="Q208" s="10">
        <v>45917</v>
      </c>
      <c r="S208" s="1" t="s">
        <v>48</v>
      </c>
      <c r="T208" s="1" t="s">
        <v>164</v>
      </c>
      <c r="U208" s="1">
        <v>12</v>
      </c>
      <c r="V208" s="1" t="s">
        <v>33</v>
      </c>
      <c r="X208" s="1" t="s">
        <v>52</v>
      </c>
      <c r="Y208" s="1" t="s">
        <v>37</v>
      </c>
      <c r="Z208" s="9">
        <v>1921.42</v>
      </c>
      <c r="AA208" s="9">
        <v>0</v>
      </c>
      <c r="AB208" s="9">
        <v>259.91000000000003</v>
      </c>
      <c r="AC208" s="9">
        <v>231.01</v>
      </c>
      <c r="AD208" s="9">
        <v>28.9</v>
      </c>
      <c r="AE208" s="9">
        <v>0</v>
      </c>
      <c r="AF208" s="9">
        <v>778.74</v>
      </c>
      <c r="AG208" s="9">
        <v>1142.68</v>
      </c>
      <c r="AH208" s="9">
        <v>1921.42</v>
      </c>
      <c r="AI208" s="9">
        <v>0</v>
      </c>
      <c r="AJ208" s="11">
        <v>1</v>
      </c>
    </row>
    <row r="209" spans="1:36" hidden="1" x14ac:dyDescent="0.3">
      <c r="A209" s="1" t="s">
        <v>53</v>
      </c>
      <c r="B209" s="1">
        <v>218345</v>
      </c>
      <c r="C209" s="1"/>
      <c r="D209" s="1" t="s">
        <v>54</v>
      </c>
      <c r="E209" s="7" t="s">
        <v>57</v>
      </c>
      <c r="F209" s="7" t="s">
        <v>120</v>
      </c>
      <c r="G209" s="8">
        <f>SUM(Tabela1[[#This Row],[Total em Romaneio]],Tabela1[[#This Row],[Saldo Despacho]])/Tabela1[[#This Row],[Total do Pedido]]</f>
        <v>0</v>
      </c>
      <c r="H209" s="42">
        <f>SUM(Tabela1[[#This Row],[Total em Romaneio]],Tabela1[[#This Row],[Saldo Despacho]])</f>
        <v>0</v>
      </c>
      <c r="I209" s="9">
        <v>1823.4</v>
      </c>
      <c r="J209" s="10">
        <v>46176</v>
      </c>
      <c r="K209" s="2"/>
      <c r="L209" s="8">
        <f>Tabela1[[#This Row],[Saldo Pedido]]/Tabela1[[#This Row],[Total do Pedido]]</f>
        <v>0</v>
      </c>
      <c r="M209" s="8">
        <f>Tabela1[[#This Row],[Total Despachado]]/Tabela1[[#This Row],[Total do Pedido]]</f>
        <v>0</v>
      </c>
      <c r="N209" s="2">
        <v>46170</v>
      </c>
      <c r="O209" s="2">
        <v>46170</v>
      </c>
      <c r="P209" s="2"/>
      <c r="S209" s="1" t="s">
        <v>31</v>
      </c>
      <c r="T209" s="1" t="s">
        <v>38</v>
      </c>
      <c r="U209" s="1">
        <v>12</v>
      </c>
      <c r="V209" s="1" t="s">
        <v>49</v>
      </c>
      <c r="W209" s="1" t="s">
        <v>35</v>
      </c>
      <c r="X209" s="1" t="s">
        <v>36</v>
      </c>
      <c r="Y209" s="1" t="s">
        <v>37</v>
      </c>
      <c r="Z209" s="9">
        <v>1823.4</v>
      </c>
      <c r="AA209" s="9">
        <v>0</v>
      </c>
      <c r="AB209" s="9">
        <v>120.6</v>
      </c>
      <c r="AC209" s="9">
        <v>0</v>
      </c>
      <c r="AD209" s="9">
        <v>120.6</v>
      </c>
      <c r="AE209" s="9">
        <v>0</v>
      </c>
      <c r="AF209" s="9">
        <v>0</v>
      </c>
      <c r="AG209" s="9">
        <v>1823.4</v>
      </c>
      <c r="AH209" s="9">
        <v>0</v>
      </c>
      <c r="AI209" s="9">
        <v>0</v>
      </c>
      <c r="AJ209" s="11">
        <v>1</v>
      </c>
    </row>
    <row r="210" spans="1:36" hidden="1" x14ac:dyDescent="0.3">
      <c r="A210" s="1" t="s">
        <v>135</v>
      </c>
      <c r="B210" s="1">
        <v>218400</v>
      </c>
      <c r="C210" s="1">
        <v>114398</v>
      </c>
      <c r="D210" s="1" t="s">
        <v>136</v>
      </c>
      <c r="E210" s="7" t="s">
        <v>63</v>
      </c>
      <c r="F210" s="7" t="s">
        <v>41</v>
      </c>
      <c r="G210" s="8">
        <f>SUM(Tabela1[[#This Row],[Total em Romaneio]],Tabela1[[#This Row],[Saldo Despacho]])/Tabela1[[#This Row],[Total do Pedido]]</f>
        <v>0</v>
      </c>
      <c r="H210" s="42">
        <f>SUM(Tabela1[[#This Row],[Total em Romaneio]],Tabela1[[#This Row],[Saldo Despacho]])</f>
        <v>0</v>
      </c>
      <c r="I210" s="9">
        <v>1769.4</v>
      </c>
      <c r="J210" s="10">
        <v>46181</v>
      </c>
      <c r="K210" s="2"/>
      <c r="L210" s="8">
        <f>Tabela1[[#This Row],[Saldo Pedido]]/Tabela1[[#This Row],[Total do Pedido]]</f>
        <v>1</v>
      </c>
      <c r="M210" s="8">
        <f>Tabela1[[#This Row],[Total Despachado]]/Tabela1[[#This Row],[Total do Pedido]]</f>
        <v>0</v>
      </c>
      <c r="N210" s="2">
        <v>46171</v>
      </c>
      <c r="O210" s="2">
        <v>46171</v>
      </c>
      <c r="P210" s="2"/>
      <c r="S210" s="1" t="s">
        <v>48</v>
      </c>
      <c r="T210" s="1" t="s">
        <v>38</v>
      </c>
      <c r="U210" s="1">
        <v>12</v>
      </c>
      <c r="V210" s="1" t="s">
        <v>33</v>
      </c>
      <c r="W210" s="1" t="s">
        <v>35</v>
      </c>
      <c r="X210" s="1" t="s">
        <v>36</v>
      </c>
      <c r="Y210" s="1" t="s">
        <v>43</v>
      </c>
      <c r="Z210" s="9">
        <v>0</v>
      </c>
      <c r="AA210" s="9">
        <v>1769.4</v>
      </c>
      <c r="AB210" s="9">
        <v>1020</v>
      </c>
      <c r="AC210" s="9">
        <v>0</v>
      </c>
      <c r="AD210" s="9">
        <v>1020</v>
      </c>
      <c r="AE210" s="9">
        <v>0</v>
      </c>
      <c r="AF210" s="9">
        <v>0</v>
      </c>
      <c r="AG210" s="9">
        <v>1769.4</v>
      </c>
      <c r="AH210" s="9">
        <v>0</v>
      </c>
      <c r="AI210" s="9">
        <v>0</v>
      </c>
      <c r="AJ210" s="11">
        <v>1</v>
      </c>
    </row>
    <row r="211" spans="1:36" hidden="1" x14ac:dyDescent="0.3">
      <c r="A211" s="1" t="s">
        <v>53</v>
      </c>
      <c r="B211" s="1">
        <v>218315</v>
      </c>
      <c r="C211" s="1">
        <v>114343</v>
      </c>
      <c r="D211" s="1" t="s">
        <v>54</v>
      </c>
      <c r="E211" s="7" t="s">
        <v>57</v>
      </c>
      <c r="F211" s="7" t="s">
        <v>77</v>
      </c>
      <c r="G211" s="8">
        <f>SUM(Tabela1[[#This Row],[Total em Romaneio]],Tabela1[[#This Row],[Saldo Despacho]])/Tabela1[[#This Row],[Total do Pedido]]</f>
        <v>0</v>
      </c>
      <c r="H211" s="42">
        <f>SUM(Tabela1[[#This Row],[Total em Romaneio]],Tabela1[[#This Row],[Saldo Despacho]])</f>
        <v>0</v>
      </c>
      <c r="I211" s="9">
        <v>1495.7</v>
      </c>
      <c r="J211" s="10">
        <v>46176</v>
      </c>
      <c r="K211" s="2"/>
      <c r="L211" s="8">
        <f>Tabela1[[#This Row],[Saldo Pedido]]/Tabela1[[#This Row],[Total do Pedido]]</f>
        <v>0</v>
      </c>
      <c r="M211" s="8">
        <f>Tabela1[[#This Row],[Total Despachado]]/Tabela1[[#This Row],[Total do Pedido]]</f>
        <v>0</v>
      </c>
      <c r="N211" s="2">
        <v>46169</v>
      </c>
      <c r="O211" s="2">
        <v>46170</v>
      </c>
      <c r="P211" s="2"/>
      <c r="S211" s="1" t="s">
        <v>31</v>
      </c>
      <c r="T211" s="1" t="s">
        <v>38</v>
      </c>
      <c r="U211" s="1">
        <v>12</v>
      </c>
      <c r="V211" s="1" t="s">
        <v>33</v>
      </c>
      <c r="W211" s="1" t="s">
        <v>35</v>
      </c>
      <c r="X211" s="1" t="s">
        <v>42</v>
      </c>
      <c r="Y211" s="1" t="s">
        <v>37</v>
      </c>
      <c r="Z211" s="9">
        <v>1495.7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1495.7</v>
      </c>
      <c r="AH211" s="9">
        <v>0</v>
      </c>
      <c r="AI211" s="9">
        <v>0</v>
      </c>
      <c r="AJ211" s="11">
        <v>1</v>
      </c>
    </row>
    <row r="212" spans="1:36" hidden="1" x14ac:dyDescent="0.3">
      <c r="A212" s="1" t="s">
        <v>59</v>
      </c>
      <c r="B212" s="1">
        <v>218233</v>
      </c>
      <c r="C212" s="1"/>
      <c r="D212" s="1" t="s">
        <v>60</v>
      </c>
      <c r="E212" s="7" t="s">
        <v>45</v>
      </c>
      <c r="F212" s="7" t="s">
        <v>41</v>
      </c>
      <c r="G212" s="8">
        <f>SUM(Tabela1[[#This Row],[Total em Romaneio]],Tabela1[[#This Row],[Saldo Despacho]])/Tabela1[[#This Row],[Total do Pedido]]</f>
        <v>0</v>
      </c>
      <c r="H212" s="42">
        <f>SUM(Tabela1[[#This Row],[Total em Romaneio]],Tabela1[[#This Row],[Saldo Despacho]])</f>
        <v>0</v>
      </c>
      <c r="I212" s="9">
        <v>1453.06</v>
      </c>
      <c r="J212" s="10">
        <v>46172</v>
      </c>
      <c r="K212" s="2"/>
      <c r="L212" s="8">
        <f>Tabela1[[#This Row],[Saldo Pedido]]/Tabela1[[#This Row],[Total do Pedido]]</f>
        <v>0</v>
      </c>
      <c r="M212" s="8">
        <f>Tabela1[[#This Row],[Total Despachado]]/Tabela1[[#This Row],[Total do Pedido]]</f>
        <v>0</v>
      </c>
      <c r="N212" s="2">
        <v>46167</v>
      </c>
      <c r="O212" s="2">
        <v>46167</v>
      </c>
      <c r="P212" s="2"/>
      <c r="Q212" s="10">
        <v>46171</v>
      </c>
      <c r="R212" s="10">
        <v>46169</v>
      </c>
      <c r="S212" s="1" t="s">
        <v>31</v>
      </c>
      <c r="T212" s="1" t="s">
        <v>32</v>
      </c>
      <c r="U212" s="1">
        <v>12</v>
      </c>
      <c r="V212" s="1" t="s">
        <v>39</v>
      </c>
      <c r="W212" s="1" t="s">
        <v>35</v>
      </c>
      <c r="X212" s="1" t="s">
        <v>51</v>
      </c>
      <c r="Y212" s="1" t="s">
        <v>37</v>
      </c>
      <c r="Z212" s="9">
        <v>1453.06</v>
      </c>
      <c r="AA212" s="9">
        <v>0</v>
      </c>
      <c r="AB212" s="9">
        <v>712</v>
      </c>
      <c r="AC212" s="9">
        <v>712</v>
      </c>
      <c r="AD212" s="9">
        <v>0</v>
      </c>
      <c r="AE212" s="9">
        <v>0</v>
      </c>
      <c r="AF212" s="9">
        <v>0</v>
      </c>
      <c r="AG212" s="9">
        <v>1453.06</v>
      </c>
      <c r="AH212" s="9">
        <v>0</v>
      </c>
      <c r="AI212" s="9">
        <v>0</v>
      </c>
      <c r="AJ212" s="11">
        <v>1</v>
      </c>
    </row>
    <row r="213" spans="1:36" hidden="1" x14ac:dyDescent="0.3">
      <c r="A213" s="1" t="s">
        <v>53</v>
      </c>
      <c r="B213" s="1">
        <v>218194</v>
      </c>
      <c r="C213" s="1"/>
      <c r="D213" s="1" t="s">
        <v>54</v>
      </c>
      <c r="E213" s="7" t="s">
        <v>155</v>
      </c>
      <c r="F213" s="7" t="s">
        <v>76</v>
      </c>
      <c r="G213" s="8">
        <f>SUM(Tabela1[[#This Row],[Total em Romaneio]],Tabela1[[#This Row],[Saldo Despacho]])/Tabela1[[#This Row],[Total do Pedido]]</f>
        <v>0</v>
      </c>
      <c r="H213" s="42">
        <f>SUM(Tabela1[[#This Row],[Total em Romaneio]],Tabela1[[#This Row],[Saldo Despacho]])</f>
        <v>0</v>
      </c>
      <c r="I213" s="9">
        <v>956.2</v>
      </c>
      <c r="J213" s="10">
        <v>46174</v>
      </c>
      <c r="K213" s="2"/>
      <c r="L213" s="8">
        <f>Tabela1[[#This Row],[Saldo Pedido]]/Tabela1[[#This Row],[Total do Pedido]]</f>
        <v>0</v>
      </c>
      <c r="M213" s="8">
        <f>Tabela1[[#This Row],[Total Despachado]]/Tabela1[[#This Row],[Total do Pedido]]</f>
        <v>0</v>
      </c>
      <c r="N213" s="2">
        <v>46164</v>
      </c>
      <c r="O213" s="2">
        <v>46167</v>
      </c>
      <c r="P213" s="2">
        <v>46174</v>
      </c>
      <c r="Q213" s="10">
        <v>46171</v>
      </c>
      <c r="R213" s="10">
        <v>46176</v>
      </c>
      <c r="S213" s="1" t="s">
        <v>31</v>
      </c>
      <c r="T213" s="1" t="s">
        <v>38</v>
      </c>
      <c r="U213" s="1">
        <v>12</v>
      </c>
      <c r="V213" s="1" t="s">
        <v>49</v>
      </c>
      <c r="W213" s="1" t="s">
        <v>35</v>
      </c>
      <c r="X213" s="1" t="s">
        <v>52</v>
      </c>
      <c r="Y213" s="1" t="s">
        <v>37</v>
      </c>
      <c r="Z213" s="9">
        <v>956.2</v>
      </c>
      <c r="AA213" s="9">
        <v>0</v>
      </c>
      <c r="AB213" s="9">
        <v>242.36</v>
      </c>
      <c r="AC213" s="9">
        <v>242.36</v>
      </c>
      <c r="AD213" s="9">
        <v>0</v>
      </c>
      <c r="AE213" s="9">
        <v>0</v>
      </c>
      <c r="AF213" s="9">
        <v>0</v>
      </c>
      <c r="AG213" s="9">
        <v>956.2</v>
      </c>
      <c r="AH213" s="9">
        <v>0</v>
      </c>
      <c r="AI213" s="9">
        <v>0</v>
      </c>
      <c r="AJ213" s="11">
        <v>1</v>
      </c>
    </row>
    <row r="214" spans="1:36" hidden="1" x14ac:dyDescent="0.3">
      <c r="A214" s="1" t="s">
        <v>53</v>
      </c>
      <c r="B214" s="1">
        <v>218193</v>
      </c>
      <c r="C214" s="1"/>
      <c r="D214" s="1" t="s">
        <v>54</v>
      </c>
      <c r="E214" s="7" t="s">
        <v>57</v>
      </c>
      <c r="F214" s="7" t="s">
        <v>76</v>
      </c>
      <c r="G214" s="8">
        <f>SUM(Tabela1[[#This Row],[Total em Romaneio]],Tabela1[[#This Row],[Saldo Despacho]])/Tabela1[[#This Row],[Total do Pedido]]</f>
        <v>0</v>
      </c>
      <c r="H214" s="42">
        <f>SUM(Tabela1[[#This Row],[Total em Romaneio]],Tabela1[[#This Row],[Saldo Despacho]])</f>
        <v>0</v>
      </c>
      <c r="I214" s="9">
        <v>945.98</v>
      </c>
      <c r="J214" s="10">
        <v>46174</v>
      </c>
      <c r="K214" s="2"/>
      <c r="L214" s="8">
        <f>Tabela1[[#This Row],[Saldo Pedido]]/Tabela1[[#This Row],[Total do Pedido]]</f>
        <v>0</v>
      </c>
      <c r="M214" s="8">
        <f>Tabela1[[#This Row],[Total Despachado]]/Tabela1[[#This Row],[Total do Pedido]]</f>
        <v>0</v>
      </c>
      <c r="N214" s="2">
        <v>46164</v>
      </c>
      <c r="O214" s="2">
        <v>46164</v>
      </c>
      <c r="P214" s="2"/>
      <c r="S214" s="1" t="s">
        <v>31</v>
      </c>
      <c r="T214" s="1" t="s">
        <v>38</v>
      </c>
      <c r="U214" s="1">
        <v>12</v>
      </c>
      <c r="V214" s="1" t="s">
        <v>49</v>
      </c>
      <c r="W214" s="1" t="s">
        <v>35</v>
      </c>
      <c r="X214" s="1" t="s">
        <v>42</v>
      </c>
      <c r="Y214" s="1" t="s">
        <v>37</v>
      </c>
      <c r="Z214" s="9">
        <v>945.98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945.98</v>
      </c>
      <c r="AH214" s="9">
        <v>0</v>
      </c>
      <c r="AI214" s="9">
        <v>0</v>
      </c>
      <c r="AJ214" s="11">
        <v>1</v>
      </c>
    </row>
    <row r="215" spans="1:36" hidden="1" x14ac:dyDescent="0.3">
      <c r="A215" s="1" t="s">
        <v>59</v>
      </c>
      <c r="B215" s="1">
        <v>218283</v>
      </c>
      <c r="C215" s="1">
        <v>114321</v>
      </c>
      <c r="D215" s="1" t="s">
        <v>60</v>
      </c>
      <c r="E215" s="7" t="s">
        <v>57</v>
      </c>
      <c r="F215" s="7" t="s">
        <v>163</v>
      </c>
      <c r="G215" s="8">
        <f>SUM(Tabela1[[#This Row],[Total em Romaneio]],Tabela1[[#This Row],[Saldo Despacho]])/Tabela1[[#This Row],[Total do Pedido]]</f>
        <v>0</v>
      </c>
      <c r="H215" s="42">
        <f>SUM(Tabela1[[#This Row],[Total em Romaneio]],Tabela1[[#This Row],[Saldo Despacho]])</f>
        <v>0</v>
      </c>
      <c r="I215" s="9">
        <v>840.61</v>
      </c>
      <c r="J215" s="10">
        <v>46178</v>
      </c>
      <c r="K215" s="2"/>
      <c r="L215" s="8">
        <f>Tabela1[[#This Row],[Saldo Pedido]]/Tabela1[[#This Row],[Total do Pedido]]</f>
        <v>0</v>
      </c>
      <c r="M215" s="8">
        <f>Tabela1[[#This Row],[Total Despachado]]/Tabela1[[#This Row],[Total do Pedido]]</f>
        <v>0</v>
      </c>
      <c r="N215" s="2">
        <v>46168</v>
      </c>
      <c r="O215" s="2">
        <v>46168</v>
      </c>
      <c r="P215" s="2"/>
      <c r="S215" s="1" t="s">
        <v>31</v>
      </c>
      <c r="T215" s="1" t="s">
        <v>38</v>
      </c>
      <c r="U215" s="1">
        <v>12</v>
      </c>
      <c r="V215" s="1" t="s">
        <v>33</v>
      </c>
      <c r="W215" s="1" t="s">
        <v>35</v>
      </c>
      <c r="X215" s="1" t="s">
        <v>42</v>
      </c>
      <c r="Y215" s="1" t="s">
        <v>37</v>
      </c>
      <c r="Z215" s="9">
        <v>840.61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840.61</v>
      </c>
      <c r="AH215" s="9">
        <v>0</v>
      </c>
      <c r="AI215" s="9">
        <v>0</v>
      </c>
      <c r="AJ215" s="11">
        <v>1</v>
      </c>
    </row>
    <row r="216" spans="1:36" hidden="1" x14ac:dyDescent="0.3">
      <c r="A216" s="1" t="s">
        <v>72</v>
      </c>
      <c r="B216" s="1">
        <v>218255</v>
      </c>
      <c r="C216" s="1"/>
      <c r="D216" s="1" t="s">
        <v>73</v>
      </c>
      <c r="E216" s="7" t="s">
        <v>78</v>
      </c>
      <c r="F216" s="7" t="s">
        <v>41</v>
      </c>
      <c r="G216" s="8">
        <f>SUM(Tabela1[[#This Row],[Total em Romaneio]],Tabela1[[#This Row],[Saldo Despacho]])/Tabela1[[#This Row],[Total do Pedido]]</f>
        <v>0</v>
      </c>
      <c r="H216" s="42">
        <f>SUM(Tabela1[[#This Row],[Total em Romaneio]],Tabela1[[#This Row],[Saldo Despacho]])</f>
        <v>0</v>
      </c>
      <c r="I216" s="9">
        <v>728.6</v>
      </c>
      <c r="J216" s="10">
        <v>46168</v>
      </c>
      <c r="K216" s="2"/>
      <c r="L216" s="8">
        <f>Tabela1[[#This Row],[Saldo Pedido]]/Tabela1[[#This Row],[Total do Pedido]]</f>
        <v>0</v>
      </c>
      <c r="M216" s="8">
        <f>Tabela1[[#This Row],[Total Despachado]]/Tabela1[[#This Row],[Total do Pedido]]</f>
        <v>0</v>
      </c>
      <c r="N216" s="2">
        <v>46167</v>
      </c>
      <c r="O216" s="2">
        <v>46167</v>
      </c>
      <c r="P216" s="2"/>
      <c r="S216" s="1" t="s">
        <v>48</v>
      </c>
      <c r="T216" s="1" t="s">
        <v>32</v>
      </c>
      <c r="U216" s="1">
        <v>12</v>
      </c>
      <c r="V216" s="1" t="s">
        <v>39</v>
      </c>
      <c r="W216" s="1" t="s">
        <v>35</v>
      </c>
      <c r="X216" s="1" t="s">
        <v>36</v>
      </c>
      <c r="Y216" s="1" t="s">
        <v>37</v>
      </c>
      <c r="Z216" s="9">
        <v>728.6</v>
      </c>
      <c r="AA216" s="9">
        <v>0</v>
      </c>
      <c r="AB216" s="9">
        <v>360</v>
      </c>
      <c r="AC216" s="9">
        <v>0</v>
      </c>
      <c r="AD216" s="9">
        <v>360</v>
      </c>
      <c r="AE216" s="9">
        <v>0</v>
      </c>
      <c r="AF216" s="9">
        <v>0</v>
      </c>
      <c r="AG216" s="9">
        <v>728.6</v>
      </c>
      <c r="AH216" s="9">
        <v>0</v>
      </c>
      <c r="AI216" s="9">
        <v>0</v>
      </c>
      <c r="AJ216" s="11">
        <v>1</v>
      </c>
    </row>
    <row r="217" spans="1:36" hidden="1" x14ac:dyDescent="0.3">
      <c r="A217" s="1" t="s">
        <v>53</v>
      </c>
      <c r="B217" s="1">
        <v>218200</v>
      </c>
      <c r="C217" s="1"/>
      <c r="D217" s="1" t="s">
        <v>54</v>
      </c>
      <c r="E217" s="7" t="s">
        <v>155</v>
      </c>
      <c r="F217" s="7" t="s">
        <v>76</v>
      </c>
      <c r="G217" s="8">
        <f>SUM(Tabela1[[#This Row],[Total em Romaneio]],Tabela1[[#This Row],[Saldo Despacho]])/Tabela1[[#This Row],[Total do Pedido]]</f>
        <v>0</v>
      </c>
      <c r="H217" s="42">
        <f>SUM(Tabela1[[#This Row],[Total em Romaneio]],Tabela1[[#This Row],[Saldo Despacho]])</f>
        <v>0</v>
      </c>
      <c r="I217" s="9">
        <v>655.20000000000005</v>
      </c>
      <c r="J217" s="10">
        <v>46174</v>
      </c>
      <c r="K217" s="2"/>
      <c r="L217" s="8">
        <f>Tabela1[[#This Row],[Saldo Pedido]]/Tabela1[[#This Row],[Total do Pedido]]</f>
        <v>0</v>
      </c>
      <c r="M217" s="8">
        <f>Tabela1[[#This Row],[Total Despachado]]/Tabela1[[#This Row],[Total do Pedido]]</f>
        <v>0</v>
      </c>
      <c r="N217" s="2">
        <v>46164</v>
      </c>
      <c r="O217" s="2">
        <v>46167</v>
      </c>
      <c r="P217" s="2">
        <v>46174</v>
      </c>
      <c r="Q217" s="10">
        <v>46171</v>
      </c>
      <c r="R217" s="10">
        <v>46176</v>
      </c>
      <c r="S217" s="1" t="s">
        <v>31</v>
      </c>
      <c r="T217" s="1" t="s">
        <v>38</v>
      </c>
      <c r="U217" s="1">
        <v>12</v>
      </c>
      <c r="V217" s="1" t="s">
        <v>49</v>
      </c>
      <c r="W217" s="1" t="s">
        <v>35</v>
      </c>
      <c r="X217" s="1" t="s">
        <v>52</v>
      </c>
      <c r="Y217" s="1" t="s">
        <v>37</v>
      </c>
      <c r="Z217" s="9">
        <v>655.20000000000005</v>
      </c>
      <c r="AA217" s="9">
        <v>0</v>
      </c>
      <c r="AB217" s="9">
        <v>173.96</v>
      </c>
      <c r="AC217" s="9">
        <v>173.96</v>
      </c>
      <c r="AD217" s="9">
        <v>0</v>
      </c>
      <c r="AE217" s="9">
        <v>0</v>
      </c>
      <c r="AF217" s="9">
        <v>0</v>
      </c>
      <c r="AG217" s="9">
        <v>655.20000000000005</v>
      </c>
      <c r="AH217" s="9">
        <v>0</v>
      </c>
      <c r="AI217" s="9">
        <v>0</v>
      </c>
      <c r="AJ217" s="11">
        <v>1</v>
      </c>
    </row>
    <row r="218" spans="1:36" hidden="1" x14ac:dyDescent="0.3">
      <c r="A218" s="1" t="s">
        <v>53</v>
      </c>
      <c r="B218" s="1">
        <v>218199</v>
      </c>
      <c r="C218" s="1"/>
      <c r="D218" s="1" t="s">
        <v>54</v>
      </c>
      <c r="E218" s="7" t="s">
        <v>57</v>
      </c>
      <c r="F218" s="7" t="s">
        <v>76</v>
      </c>
      <c r="G218" s="8">
        <f>SUM(Tabela1[[#This Row],[Total em Romaneio]],Tabela1[[#This Row],[Saldo Despacho]])/Tabela1[[#This Row],[Total do Pedido]]</f>
        <v>0</v>
      </c>
      <c r="H218" s="42">
        <f>SUM(Tabela1[[#This Row],[Total em Romaneio]],Tabela1[[#This Row],[Saldo Despacho]])</f>
        <v>0</v>
      </c>
      <c r="I218" s="9">
        <v>644</v>
      </c>
      <c r="J218" s="10">
        <v>46174</v>
      </c>
      <c r="K218" s="2"/>
      <c r="L218" s="8">
        <f>Tabela1[[#This Row],[Saldo Pedido]]/Tabela1[[#This Row],[Total do Pedido]]</f>
        <v>0</v>
      </c>
      <c r="M218" s="8">
        <f>Tabela1[[#This Row],[Total Despachado]]/Tabela1[[#This Row],[Total do Pedido]]</f>
        <v>0</v>
      </c>
      <c r="N218" s="2">
        <v>46164</v>
      </c>
      <c r="O218" s="2">
        <v>46164</v>
      </c>
      <c r="P218" s="2"/>
      <c r="S218" s="1" t="s">
        <v>31</v>
      </c>
      <c r="T218" s="1" t="s">
        <v>38</v>
      </c>
      <c r="U218" s="1">
        <v>12</v>
      </c>
      <c r="V218" s="1" t="s">
        <v>49</v>
      </c>
      <c r="W218" s="1" t="s">
        <v>35</v>
      </c>
      <c r="X218" s="1" t="s">
        <v>42</v>
      </c>
      <c r="Y218" s="1" t="s">
        <v>37</v>
      </c>
      <c r="Z218" s="9">
        <v>644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644</v>
      </c>
      <c r="AH218" s="9">
        <v>0</v>
      </c>
      <c r="AI218" s="9">
        <v>0</v>
      </c>
      <c r="AJ218" s="11">
        <v>1</v>
      </c>
    </row>
    <row r="219" spans="1:36" hidden="1" x14ac:dyDescent="0.3">
      <c r="A219" s="1" t="s">
        <v>135</v>
      </c>
      <c r="B219" s="1">
        <v>218395</v>
      </c>
      <c r="C219" s="1">
        <v>114396</v>
      </c>
      <c r="D219" s="1" t="s">
        <v>136</v>
      </c>
      <c r="E219" s="7" t="s">
        <v>63</v>
      </c>
      <c r="F219" s="7" t="s">
        <v>41</v>
      </c>
      <c r="G219" s="8">
        <f>SUM(Tabela1[[#This Row],[Total em Romaneio]],Tabela1[[#This Row],[Saldo Despacho]])/Tabela1[[#This Row],[Total do Pedido]]</f>
        <v>0</v>
      </c>
      <c r="H219" s="42">
        <f>SUM(Tabela1[[#This Row],[Total em Romaneio]],Tabela1[[#This Row],[Saldo Despacho]])</f>
        <v>0</v>
      </c>
      <c r="I219" s="9">
        <v>589.79999999999995</v>
      </c>
      <c r="J219" s="10">
        <v>46181</v>
      </c>
      <c r="K219" s="2"/>
      <c r="L219" s="8">
        <f>Tabela1[[#This Row],[Saldo Pedido]]/Tabela1[[#This Row],[Total do Pedido]]</f>
        <v>1</v>
      </c>
      <c r="M219" s="8">
        <f>Tabela1[[#This Row],[Total Despachado]]/Tabela1[[#This Row],[Total do Pedido]]</f>
        <v>0</v>
      </c>
      <c r="N219" s="2">
        <v>46171</v>
      </c>
      <c r="O219" s="2">
        <v>46171</v>
      </c>
      <c r="P219" s="2"/>
      <c r="S219" s="1" t="s">
        <v>48</v>
      </c>
      <c r="T219" s="1" t="s">
        <v>38</v>
      </c>
      <c r="U219" s="1">
        <v>12</v>
      </c>
      <c r="V219" s="1" t="s">
        <v>33</v>
      </c>
      <c r="W219" s="1" t="s">
        <v>35</v>
      </c>
      <c r="X219" s="1" t="s">
        <v>36</v>
      </c>
      <c r="Y219" s="1" t="s">
        <v>43</v>
      </c>
      <c r="Z219" s="9">
        <v>0</v>
      </c>
      <c r="AA219" s="9">
        <v>589.79999999999995</v>
      </c>
      <c r="AB219" s="9">
        <v>340</v>
      </c>
      <c r="AC219" s="9">
        <v>0</v>
      </c>
      <c r="AD219" s="9">
        <v>340</v>
      </c>
      <c r="AE219" s="9">
        <v>0</v>
      </c>
      <c r="AF219" s="9">
        <v>0</v>
      </c>
      <c r="AG219" s="9">
        <v>589.79999999999995</v>
      </c>
      <c r="AH219" s="9">
        <v>0</v>
      </c>
      <c r="AI219" s="9">
        <v>0</v>
      </c>
      <c r="AJ219" s="11">
        <v>1</v>
      </c>
    </row>
    <row r="220" spans="1:36" hidden="1" x14ac:dyDescent="0.3">
      <c r="A220" s="1" t="s">
        <v>135</v>
      </c>
      <c r="B220" s="1">
        <v>218397</v>
      </c>
      <c r="C220" s="1">
        <v>114397</v>
      </c>
      <c r="D220" s="1" t="s">
        <v>136</v>
      </c>
      <c r="E220" s="7" t="s">
        <v>63</v>
      </c>
      <c r="F220" s="7" t="s">
        <v>41</v>
      </c>
      <c r="G220" s="8">
        <f>SUM(Tabela1[[#This Row],[Total em Romaneio]],Tabela1[[#This Row],[Saldo Despacho]])/Tabela1[[#This Row],[Total do Pedido]]</f>
        <v>0</v>
      </c>
      <c r="H220" s="42">
        <f>SUM(Tabela1[[#This Row],[Total em Romaneio]],Tabela1[[#This Row],[Saldo Despacho]])</f>
        <v>0</v>
      </c>
      <c r="I220" s="9">
        <v>589.79999999999995</v>
      </c>
      <c r="J220" s="10">
        <v>46181</v>
      </c>
      <c r="K220" s="2"/>
      <c r="L220" s="8">
        <f>Tabela1[[#This Row],[Saldo Pedido]]/Tabela1[[#This Row],[Total do Pedido]]</f>
        <v>1</v>
      </c>
      <c r="M220" s="8">
        <f>Tabela1[[#This Row],[Total Despachado]]/Tabela1[[#This Row],[Total do Pedido]]</f>
        <v>0</v>
      </c>
      <c r="N220" s="2">
        <v>46171</v>
      </c>
      <c r="O220" s="2">
        <v>46171</v>
      </c>
      <c r="P220" s="2"/>
      <c r="S220" s="1" t="s">
        <v>48</v>
      </c>
      <c r="T220" s="1" t="s">
        <v>38</v>
      </c>
      <c r="U220" s="1">
        <v>12</v>
      </c>
      <c r="V220" s="1" t="s">
        <v>33</v>
      </c>
      <c r="W220" s="1" t="s">
        <v>35</v>
      </c>
      <c r="X220" s="1" t="s">
        <v>36</v>
      </c>
      <c r="Y220" s="1" t="s">
        <v>43</v>
      </c>
      <c r="Z220" s="9">
        <v>0</v>
      </c>
      <c r="AA220" s="9">
        <v>589.79999999999995</v>
      </c>
      <c r="AB220" s="9">
        <v>340</v>
      </c>
      <c r="AC220" s="9">
        <v>0</v>
      </c>
      <c r="AD220" s="9">
        <v>340</v>
      </c>
      <c r="AE220" s="9">
        <v>0</v>
      </c>
      <c r="AF220" s="9">
        <v>0</v>
      </c>
      <c r="AG220" s="9">
        <v>589.79999999999995</v>
      </c>
      <c r="AH220" s="9">
        <v>0</v>
      </c>
      <c r="AI220" s="9">
        <v>0</v>
      </c>
      <c r="AJ220" s="11">
        <v>1</v>
      </c>
    </row>
    <row r="221" spans="1:36" hidden="1" x14ac:dyDescent="0.3">
      <c r="A221" s="1" t="s">
        <v>53</v>
      </c>
      <c r="B221" s="1">
        <v>218198</v>
      </c>
      <c r="C221" s="1"/>
      <c r="D221" s="1" t="s">
        <v>54</v>
      </c>
      <c r="E221" s="7" t="s">
        <v>155</v>
      </c>
      <c r="F221" s="7" t="s">
        <v>76</v>
      </c>
      <c r="G221" s="8">
        <f>SUM(Tabela1[[#This Row],[Total em Romaneio]],Tabela1[[#This Row],[Saldo Despacho]])/Tabela1[[#This Row],[Total do Pedido]]</f>
        <v>0</v>
      </c>
      <c r="H221" s="42">
        <f>SUM(Tabela1[[#This Row],[Total em Romaneio]],Tabela1[[#This Row],[Saldo Despacho]])</f>
        <v>0</v>
      </c>
      <c r="I221" s="9">
        <v>385.2</v>
      </c>
      <c r="J221" s="10">
        <v>46174</v>
      </c>
      <c r="K221" s="2"/>
      <c r="L221" s="8">
        <f>Tabela1[[#This Row],[Saldo Pedido]]/Tabela1[[#This Row],[Total do Pedido]]</f>
        <v>0</v>
      </c>
      <c r="M221" s="8">
        <f>Tabela1[[#This Row],[Total Despachado]]/Tabela1[[#This Row],[Total do Pedido]]</f>
        <v>0</v>
      </c>
      <c r="N221" s="2">
        <v>46164</v>
      </c>
      <c r="O221" s="2">
        <v>46167</v>
      </c>
      <c r="P221" s="2"/>
      <c r="Q221" s="10">
        <v>46171</v>
      </c>
      <c r="R221" s="10">
        <v>46171</v>
      </c>
      <c r="S221" s="1" t="s">
        <v>31</v>
      </c>
      <c r="T221" s="1" t="s">
        <v>38</v>
      </c>
      <c r="U221" s="1">
        <v>12</v>
      </c>
      <c r="V221" s="1" t="s">
        <v>49</v>
      </c>
      <c r="W221" s="1" t="s">
        <v>35</v>
      </c>
      <c r="X221" s="1" t="s">
        <v>58</v>
      </c>
      <c r="Y221" s="1" t="s">
        <v>37</v>
      </c>
      <c r="Z221" s="9">
        <v>385.2</v>
      </c>
      <c r="AA221" s="9">
        <v>0</v>
      </c>
      <c r="AB221" s="9">
        <v>37.159999999999997</v>
      </c>
      <c r="AC221" s="9">
        <v>37.159999999999997</v>
      </c>
      <c r="AD221" s="9">
        <v>0</v>
      </c>
      <c r="AE221" s="9">
        <v>0</v>
      </c>
      <c r="AF221" s="9">
        <v>0</v>
      </c>
      <c r="AG221" s="9">
        <v>385.2</v>
      </c>
      <c r="AH221" s="9">
        <v>0</v>
      </c>
      <c r="AI221" s="9">
        <v>0</v>
      </c>
      <c r="AJ221" s="11">
        <v>1</v>
      </c>
    </row>
    <row r="222" spans="1:36" hidden="1" x14ac:dyDescent="0.3">
      <c r="A222" s="1" t="s">
        <v>53</v>
      </c>
      <c r="B222" s="1">
        <v>218197</v>
      </c>
      <c r="C222" s="1"/>
      <c r="D222" s="1" t="s">
        <v>54</v>
      </c>
      <c r="E222" s="7" t="s">
        <v>57</v>
      </c>
      <c r="F222" s="7" t="s">
        <v>76</v>
      </c>
      <c r="G222" s="8">
        <f>SUM(Tabela1[[#This Row],[Total em Romaneio]],Tabela1[[#This Row],[Saldo Despacho]])/Tabela1[[#This Row],[Total do Pedido]]</f>
        <v>0</v>
      </c>
      <c r="H222" s="42">
        <f>SUM(Tabela1[[#This Row],[Total em Romaneio]],Tabela1[[#This Row],[Saldo Despacho]])</f>
        <v>0</v>
      </c>
      <c r="I222" s="9">
        <v>325.25</v>
      </c>
      <c r="J222" s="10">
        <v>46174</v>
      </c>
      <c r="K222" s="2"/>
      <c r="L222" s="8">
        <f>Tabela1[[#This Row],[Saldo Pedido]]/Tabela1[[#This Row],[Total do Pedido]]</f>
        <v>0</v>
      </c>
      <c r="M222" s="8">
        <f>Tabela1[[#This Row],[Total Despachado]]/Tabela1[[#This Row],[Total do Pedido]]</f>
        <v>0</v>
      </c>
      <c r="N222" s="2">
        <v>46164</v>
      </c>
      <c r="O222" s="2">
        <v>46164</v>
      </c>
      <c r="P222" s="2"/>
      <c r="S222" s="1" t="s">
        <v>31</v>
      </c>
      <c r="T222" s="1" t="s">
        <v>38</v>
      </c>
      <c r="U222" s="1">
        <v>12</v>
      </c>
      <c r="V222" s="1" t="s">
        <v>49</v>
      </c>
      <c r="W222" s="1" t="s">
        <v>35</v>
      </c>
      <c r="X222" s="1" t="s">
        <v>42</v>
      </c>
      <c r="Y222" s="1" t="s">
        <v>37</v>
      </c>
      <c r="Z222" s="9">
        <v>325.25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325.25</v>
      </c>
      <c r="AH222" s="9">
        <v>0</v>
      </c>
      <c r="AI222" s="9">
        <v>0</v>
      </c>
      <c r="AJ222" s="11">
        <v>1</v>
      </c>
    </row>
    <row r="223" spans="1:36" hidden="1" x14ac:dyDescent="0.3">
      <c r="A223" s="1" t="s">
        <v>55</v>
      </c>
      <c r="B223" s="1">
        <v>218286</v>
      </c>
      <c r="C223" s="1"/>
      <c r="D223" s="1" t="s">
        <v>56</v>
      </c>
      <c r="E223" s="7" t="s">
        <v>57</v>
      </c>
      <c r="F223" s="7" t="s">
        <v>162</v>
      </c>
      <c r="G223" s="8">
        <f>SUM(Tabela1[[#This Row],[Total em Romaneio]],Tabela1[[#This Row],[Saldo Despacho]])/Tabela1[[#This Row],[Total do Pedido]]</f>
        <v>0</v>
      </c>
      <c r="H223" s="42">
        <f>SUM(Tabela1[[#This Row],[Total em Romaneio]],Tabela1[[#This Row],[Saldo Despacho]])</f>
        <v>0</v>
      </c>
      <c r="I223" s="9">
        <v>225.11</v>
      </c>
      <c r="J223" s="10">
        <v>46168</v>
      </c>
      <c r="K223" s="2"/>
      <c r="L223" s="8">
        <f>Tabela1[[#This Row],[Saldo Pedido]]/Tabela1[[#This Row],[Total do Pedido]]</f>
        <v>0</v>
      </c>
      <c r="M223" s="8">
        <f>Tabela1[[#This Row],[Total Despachado]]/Tabela1[[#This Row],[Total do Pedido]]</f>
        <v>0</v>
      </c>
      <c r="N223" s="2">
        <v>46168</v>
      </c>
      <c r="O223" s="2">
        <v>46168</v>
      </c>
      <c r="P223" s="2"/>
      <c r="S223" s="1" t="s">
        <v>44</v>
      </c>
      <c r="T223" s="1" t="s">
        <v>115</v>
      </c>
      <c r="U223" s="1">
        <v>9</v>
      </c>
      <c r="V223" s="1" t="s">
        <v>39</v>
      </c>
      <c r="W223" s="1" t="s">
        <v>35</v>
      </c>
      <c r="X223" s="1" t="s">
        <v>42</v>
      </c>
      <c r="Y223" s="1" t="s">
        <v>37</v>
      </c>
      <c r="Z223" s="9">
        <v>225.11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225.11</v>
      </c>
      <c r="AH223" s="9">
        <v>0</v>
      </c>
      <c r="AI223" s="9">
        <v>0</v>
      </c>
      <c r="AJ223" s="11">
        <v>1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8C3B41-9932-494C-A117-62EB8AF95A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DINÂMICA</vt:lpstr>
      <vt:lpstr>MAPA DE 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Carlos de Lucena Neto</dc:creator>
  <cp:lastModifiedBy>José Carlos de Lucena Neto</cp:lastModifiedBy>
  <cp:lastPrinted>2026-05-21T14:43:23Z</cp:lastPrinted>
  <dcterms:created xsi:type="dcterms:W3CDTF">2026-03-26T17:39:25Z</dcterms:created>
  <dcterms:modified xsi:type="dcterms:W3CDTF">2026-06-02T12:35:20Z</dcterms:modified>
</cp:coreProperties>
</file>